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50"/>
  </bookViews>
  <sheets>
    <sheet name="1 Board" sheetId="1" r:id="rId1"/>
  </sheets>
  <calcPr calcId="144525"/>
</workbook>
</file>

<file path=xl/sharedStrings.xml><?xml version="1.0" encoding="utf-8"?>
<sst xmlns="http://schemas.openxmlformats.org/spreadsheetml/2006/main" count="420" uniqueCount="265">
  <si>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</si>
  <si>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</si>
  <si>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</si>
  <si>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</si>
  <si>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</si>
  <si>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</si>
  <si>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</si>
  <si>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 xml:space="preserve"> Alternate Part Number</t>
  </si>
  <si>
    <t>LCSC Part Number</t>
  </si>
  <si>
    <t>Comment</t>
  </si>
  <si>
    <t>Quantity</t>
  </si>
  <si>
    <t>Quantity (1 Boards)</t>
  </si>
  <si>
    <t>MOQ (1 Boards)</t>
  </si>
  <si>
    <t xml:space="preserve"> Links</t>
  </si>
  <si>
    <t>Unit Cost (1 Boards)</t>
  </si>
  <si>
    <t>Total Cost (1 Boards)</t>
  </si>
  <si>
    <t xml:space="preserve"> Remarks</t>
  </si>
  <si>
    <t>Reviewer Remarks</t>
  </si>
  <si>
    <t>Capacitor</t>
  </si>
  <si>
    <t>C1, C2, C4, C7, C9, C12, C16, C17, C29, C32, C35, C43</t>
  </si>
  <si>
    <t>10V 10uF X5R ±10% 0603 Multilayer Ceramic Capacitors MLCC - SMD/SMT ROHS</t>
  </si>
  <si>
    <t>Cap-0603</t>
  </si>
  <si>
    <t>CGA0603X5R106K100JT</t>
  </si>
  <si>
    <t>HRE</t>
  </si>
  <si>
    <t>-</t>
  </si>
  <si>
    <t>C6119842</t>
  </si>
  <si>
    <t>10uF</t>
  </si>
  <si>
    <t>LCSC</t>
  </si>
  <si>
    <t>C3, C6, C11</t>
  </si>
  <si>
    <t>50V 220pF X7R ±10% 0603 Multilayer Ceramic Capacitors MLCC - SMD/SMT ROHS</t>
  </si>
  <si>
    <t>CS1608X7R221K500NRB</t>
  </si>
  <si>
    <t>Samwha Capacitors</t>
  </si>
  <si>
    <t>C5255295</t>
  </si>
  <si>
    <t>220pF</t>
  </si>
  <si>
    <t>C5, C8, C13, C14, C15, C21, C22, C23, C24, C27, C28, C31, C34, C37, C38, C39, C40, C42</t>
  </si>
  <si>
    <t>25V 100nF X7R ±10% 0603 Multilayer Ceramic Capacitors MLCC - SMD/SMT ROHS</t>
  </si>
  <si>
    <t>CL10B104KA8NNNC</t>
  </si>
  <si>
    <t>Samsung Electro-Mechanics</t>
  </si>
  <si>
    <t>C1590</t>
  </si>
  <si>
    <t>100nF</t>
  </si>
  <si>
    <t>C10, C20</t>
  </si>
  <si>
    <t>16V 1uF X5R ±10% 0603 Multilayer Ceramic Capacitors MLCC - SMD/SMT ROHS</t>
  </si>
  <si>
    <t>CL10A105KO8NNNC</t>
  </si>
  <si>
    <t>C1592</t>
  </si>
  <si>
    <t>1uF</t>
  </si>
  <si>
    <t>C18</t>
  </si>
  <si>
    <t>25V 22nF X7R 0603 Multilayer Ceramic Capacitors MLCC - SMD/SMT ROHS</t>
  </si>
  <si>
    <t>FN18X223K250PSG</t>
  </si>
  <si>
    <t>PSA</t>
  </si>
  <si>
    <t>C2929161</t>
  </si>
  <si>
    <t>22nF</t>
  </si>
  <si>
    <t>C19</t>
  </si>
  <si>
    <t>CAP CER 4700PF 50V C0G/NPO 0603</t>
  </si>
  <si>
    <t>CC0603JRNPO9BN472</t>
  </si>
  <si>
    <t>Yageo</t>
  </si>
  <si>
    <t>C576818</t>
  </si>
  <si>
    <t>4.7nF</t>
  </si>
  <si>
    <t>C25, C26</t>
  </si>
  <si>
    <t>CAP CER 20PF 50V C0G/NPO 0603</t>
  </si>
  <si>
    <t>CC0603JRNPO9BN200</t>
  </si>
  <si>
    <t>C105621</t>
  </si>
  <si>
    <t>20pF</t>
  </si>
  <si>
    <t>C30, C33, C36, C41</t>
  </si>
  <si>
    <t>50V 10nF X7R ±10% 0603 Multilayer Ceramic Capacitors MLCC - SMD/SMT ROHS</t>
  </si>
  <si>
    <t>FN18X103K500PSG</t>
  </si>
  <si>
    <t>C525264</t>
  </si>
  <si>
    <t>10nF</t>
  </si>
  <si>
    <t>Diode</t>
  </si>
  <si>
    <t>D1</t>
  </si>
  <si>
    <t>TVS DIODE 5VWM 6.3VC DSN0603-2</t>
  </si>
  <si>
    <t>DSN0603-2</t>
  </si>
  <si>
    <t>PESD5V0H1BSFYL</t>
  </si>
  <si>
    <t>Nexperia</t>
  </si>
  <si>
    <t>C477989</t>
  </si>
  <si>
    <t>D2, D3</t>
  </si>
  <si>
    <t>DFN2510-10 Electrostatic and Surge Protection (TVS/ESD) ROHS</t>
  </si>
  <si>
    <t>Custom</t>
  </si>
  <si>
    <t>AZ1045-04F</t>
  </si>
  <si>
    <t>TECH PUBLIC</t>
  </si>
  <si>
    <t>C2987152</t>
  </si>
  <si>
    <t>Fuse</t>
  </si>
  <si>
    <t>F1</t>
  </si>
  <si>
    <t>PTC RESET FUSE 6V 3A 1206</t>
  </si>
  <si>
    <t>Fuse 1206 (3216 Metric)</t>
  </si>
  <si>
    <t>1206L300SLTHYR</t>
  </si>
  <si>
    <t>Littelfuse</t>
  </si>
  <si>
    <t>C207041</t>
  </si>
  <si>
    <t>Ferrite Bead</t>
  </si>
  <si>
    <t>FB1,FB2, FB3, FB4, FB5</t>
  </si>
  <si>
    <t>Ferrite Beads Multi-Layer 120Ohm 25% 100MHz 2A 50mOhm DCR 0603 Paper T/R</t>
  </si>
  <si>
    <t>IND-0603 (1608 Metric)</t>
  </si>
  <si>
    <t>BLM18PG121SN1D</t>
  </si>
  <si>
    <t>Murata Electronics</t>
  </si>
  <si>
    <t>C14709</t>
  </si>
  <si>
    <t>120R</t>
  </si>
  <si>
    <t>USB Connector</t>
  </si>
  <si>
    <t>J1</t>
  </si>
  <si>
    <t xml:space="preserve"> 5A 1 16P Female Type-C SMD USB Connectors ROHS </t>
  </si>
  <si>
    <t>TYPE-C-31-M-12</t>
  </si>
  <si>
    <t>Korean Hroparts Elec</t>
  </si>
  <si>
    <t>C165948</t>
  </si>
  <si>
    <t>Connector</t>
  </si>
  <si>
    <t>J2</t>
  </si>
  <si>
    <t>3A Brick nogging Square Pins 2.5mm 8P 6mm -55℃~+105℃ 2.54mm 双排 Black 2x4P 2.54mm SMD,P=2.54mm Pin Headers ROHS</t>
  </si>
  <si>
    <t xml:space="preserve">2.54-2*4P
</t>
  </si>
  <si>
    <t>BOOMELE(BOOM Precision Elec)</t>
  </si>
  <si>
    <t>C192300</t>
  </si>
  <si>
    <t>J3</t>
  </si>
  <si>
    <t>40 Position Straight Type Receptacle Signal Only Board to FPC Connector</t>
  </si>
  <si>
    <t>BM23FR0.6-40DS-0.35V(895)</t>
  </si>
  <si>
    <t>Hirose</t>
  </si>
  <si>
    <t>Mouser</t>
  </si>
  <si>
    <t>HDMI</t>
  </si>
  <si>
    <t>J4</t>
  </si>
  <si>
    <t>19P Female HDMI Surface Mount，Right Angle 1 500mA -45℃~+85℃ SMD D-Sub/DVI/HDMI Connectors ROHS</t>
  </si>
  <si>
    <t>HD-A-05H9191N</t>
  </si>
  <si>
    <t>HanElectricity</t>
  </si>
  <si>
    <t>C18213861</t>
  </si>
  <si>
    <t>Inductor</t>
  </si>
  <si>
    <t>L1, L2, L3</t>
  </si>
  <si>
    <t>Inductor Power Chip Shielded Multi-Layer 1.5uH 20% 1MHz Ferrite 1.5A 0.088Ohm DCR 1008 T/R</t>
  </si>
  <si>
    <t>IND-1008 (2520 Metric)</t>
  </si>
  <si>
    <t>LQM2HPN1R5MG0L</t>
  </si>
  <si>
    <t>C98034</t>
  </si>
  <si>
    <t>1.5uH</t>
  </si>
  <si>
    <t>L4, L5</t>
  </si>
  <si>
    <t>50mA 10uH ±20% 1.17Ω 0603 Inductors (SMD) ROHS</t>
  </si>
  <si>
    <t>MCL1608S100MT</t>
  </si>
  <si>
    <t>SUNLORD</t>
  </si>
  <si>
    <t>C51942</t>
  </si>
  <si>
    <t>10uH</t>
  </si>
  <si>
    <t>LED</t>
  </si>
  <si>
    <t>LED1, LED2</t>
  </si>
  <si>
    <t>Green 520~535nm 0402 Light Emitting Diodes (LED) RoHS</t>
  </si>
  <si>
    <t>LED-0402</t>
  </si>
  <si>
    <t>16-213/GHC-YR1S1/3T</t>
  </si>
  <si>
    <t>Everlight Elec</t>
  </si>
  <si>
    <t>C74338</t>
  </si>
  <si>
    <t>Green</t>
  </si>
  <si>
    <t>Resistor</t>
  </si>
  <si>
    <t>R1, R6, R24, R31, R32, R33</t>
  </si>
  <si>
    <t>RES SMD 1K OHM 1% 1/10W 0603</t>
  </si>
  <si>
    <t>Res-0603</t>
  </si>
  <si>
    <t>RC0603FR-071KL</t>
  </si>
  <si>
    <t>C22548</t>
  </si>
  <si>
    <t>1K</t>
  </si>
  <si>
    <t>R31 is DNP</t>
  </si>
  <si>
    <t>R2</t>
  </si>
  <si>
    <t>100mW Thick Film Resistors 75V ±100ppm/℃ ±1% 200kΩ 0603 Chip Resistor - Surface Mount ROHS</t>
  </si>
  <si>
    <t>0603WAF2003T5E</t>
  </si>
  <si>
    <t>UNI-ROYAL(Uniroyal Elec)</t>
  </si>
  <si>
    <t>C25811</t>
  </si>
  <si>
    <t>200K</t>
  </si>
  <si>
    <t>R3</t>
  </si>
  <si>
    <t>100mW Thick Film Resistors 75V ±100ppm/℃ ±1% 68kΩ 0603 Chip Resistor - Surface Mount ROHS</t>
  </si>
  <si>
    <t>0603WAF6802T5E</t>
  </si>
  <si>
    <t>C23231</t>
  </si>
  <si>
    <t>68K</t>
  </si>
  <si>
    <t>R4, R8</t>
  </si>
  <si>
    <t>100mW Thick Film Resistors 75V ±100ppm/℃ ±1% 100kΩ 0603 Chip Resistor - Surface Mount ROHS</t>
  </si>
  <si>
    <t>0603WAF1003T5E</t>
  </si>
  <si>
    <t>UNI-ROYAL</t>
  </si>
  <si>
    <t>C25803</t>
  </si>
  <si>
    <t>100K</t>
  </si>
  <si>
    <t>R5</t>
  </si>
  <si>
    <t>100mW Thick Film Resistors 75V ±100ppm/℃ ±1% 15kΩ 0603 Chip Resistor - Surface Mount ROHS</t>
  </si>
  <si>
    <t>FRC0603F1502TS</t>
  </si>
  <si>
    <t>FOJAN</t>
  </si>
  <si>
    <t>C2906995</t>
  </si>
  <si>
    <t>15K</t>
  </si>
  <si>
    <t>R7</t>
  </si>
  <si>
    <t>100mW Thick Film Resistors 75V ±100ppm/℃ ±1% 120kΩ 0603 Chip Resistor - Surface Mount ROHS</t>
  </si>
  <si>
    <t>0603WAF1203T5E</t>
  </si>
  <si>
    <t>C25808</t>
  </si>
  <si>
    <t>120K</t>
  </si>
  <si>
    <t>R9, R10</t>
  </si>
  <si>
    <t>RES 0 OHM JUMPER 1/10W 0603</t>
  </si>
  <si>
    <t>RC0603JR-070RL</t>
  </si>
  <si>
    <t>C95177</t>
  </si>
  <si>
    <t>0R</t>
  </si>
  <si>
    <t>R11</t>
  </si>
  <si>
    <t>100mW Thick Film Resistors ±100ppm/℃ ±1% 1MΩ 0603 Chip Resistor - Surface Mount ROHS</t>
  </si>
  <si>
    <t>0603WAF1004T5E</t>
  </si>
  <si>
    <t>C22935</t>
  </si>
  <si>
    <t>1M</t>
  </si>
  <si>
    <t>R12, R13</t>
  </si>
  <si>
    <t>100mW Thick Film Resistors 75V ±100ppm/℃ ±1% 5.1kΩ 0603 Chip Resistor - Surface Mount ROHS</t>
  </si>
  <si>
    <t>0603WAF5101T5E</t>
  </si>
  <si>
    <t>C23186</t>
  </si>
  <si>
    <t>5.1k</t>
  </si>
  <si>
    <t>R14, R15, R16, R21, R22, R23, R25, R26, R34, R35</t>
  </si>
  <si>
    <t>RES SMD 10K Ohm 1% 1/10W 0603, 100mW Thick Film Resistors 75V ±100ppm/℃ ±1% 10kΩ 0603 Chip Resistor - Surface Mount ROHS</t>
  </si>
  <si>
    <t>0603WAF1002T5E</t>
  </si>
  <si>
    <t>C25804</t>
  </si>
  <si>
    <t>10K</t>
  </si>
  <si>
    <t>R35 is DNP</t>
  </si>
  <si>
    <t>R17, R18</t>
  </si>
  <si>
    <t>100mW Thick Film Resistors 75V ±100ppm/℃ ±1% 22Ω 0603 Chip Resistor - Surface Mount ROHS</t>
  </si>
  <si>
    <t>0603WAF220JT5E</t>
  </si>
  <si>
    <t>C23345</t>
  </si>
  <si>
    <t>22R</t>
  </si>
  <si>
    <t>R27, R29, R30</t>
  </si>
  <si>
    <t>RES 47K OHM 5% 1/10W 0603</t>
  </si>
  <si>
    <t>RC0603JR-0747KL</t>
  </si>
  <si>
    <t>C127447</t>
  </si>
  <si>
    <t>47K</t>
  </si>
  <si>
    <t>R28</t>
  </si>
  <si>
    <t>RES SMD 2K OHM 0.1% 1/10W 0603</t>
  </si>
  <si>
    <t>RT0603BRE072KL</t>
  </si>
  <si>
    <t>C136954</t>
  </si>
  <si>
    <t>2K</t>
  </si>
  <si>
    <t>Switch</t>
  </si>
  <si>
    <t>SW1</t>
  </si>
  <si>
    <t>SWITCH TACTILE SPST-NO 0.05A 12V</t>
  </si>
  <si>
    <t>B3U-1000P</t>
  </si>
  <si>
    <t>Omron</t>
  </si>
  <si>
    <t>C231329</t>
  </si>
  <si>
    <t>IC</t>
  </si>
  <si>
    <t>U1</t>
  </si>
  <si>
    <t>2.7V~5.5V 3 WQFN-20-EP(3x3) Battery Management ICs ROHS</t>
  </si>
  <si>
    <t>20-QFN(3x3)</t>
  </si>
  <si>
    <t>EA3036CQBR</t>
  </si>
  <si>
    <t>Everanalog IC Design</t>
  </si>
  <si>
    <t>C570857</t>
  </si>
  <si>
    <t>U2</t>
  </si>
  <si>
    <t>IC REG LDO 2.8V 0.3A SOT23-5</t>
  </si>
  <si>
    <t>SOT-23-5</t>
  </si>
  <si>
    <t>RT9193-28GB</t>
  </si>
  <si>
    <t>Richtek</t>
  </si>
  <si>
    <t>C56731</t>
  </si>
  <si>
    <t>U3</t>
  </si>
  <si>
    <t>IC MCU 32BIT 128KB FLASH 48LQFP</t>
  </si>
  <si>
    <t>48-LQFP (7x7)_</t>
  </si>
  <si>
    <t>STM32F103CBT6</t>
  </si>
  <si>
    <t>STMicroelectronics</t>
  </si>
  <si>
    <t>C8304</t>
  </si>
  <si>
    <t>U4</t>
  </si>
  <si>
    <t>IC TRANSLTR BIDIRECTIONAL 8VSSOP</t>
  </si>
  <si>
    <t>VSSOP-8(3.1x2.1)</t>
  </si>
  <si>
    <t>TXB0102DCUR</t>
  </si>
  <si>
    <t>Texas Instruments</t>
  </si>
  <si>
    <t>C60709</t>
  </si>
  <si>
    <t>U5</t>
  </si>
  <si>
    <t>Ultra HD to Display Serial Interface Converter 80-Pin VFBGA</t>
  </si>
  <si>
    <t>TC358870XBG</t>
  </si>
  <si>
    <t>TC358870XBG(NOK)</t>
  </si>
  <si>
    <t>Toshiba</t>
  </si>
  <si>
    <t>C3008712</t>
  </si>
  <si>
    <t>Crystal</t>
  </si>
  <si>
    <t>X1</t>
  </si>
  <si>
    <t>8MHz 20pF ±10ppm ±50ppm SMD5032-2P Crystals ROHS</t>
  </si>
  <si>
    <t>SMD5032-2P</t>
  </si>
  <si>
    <t>X50328MSB2GI</t>
  </si>
  <si>
    <t>Yangxing Tech</t>
  </si>
  <si>
    <t>C115962</t>
  </si>
  <si>
    <t>8MHz</t>
  </si>
  <si>
    <t>X4</t>
  </si>
  <si>
    <t>3.3V 5mA ±25ppm 40MHz CMOS SMD3225-4P Oscillators ROHS</t>
  </si>
  <si>
    <t>SMD3225-4P</t>
  </si>
  <si>
    <t>O3240000153350</t>
  </si>
  <si>
    <t>JGHC</t>
  </si>
  <si>
    <t>C437132</t>
  </si>
  <si>
    <t>40MHz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</si>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</sst>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00"/>
    <numFmt numFmtId="179" formatCode="&quot;$&quot;#,##0.000_);[Red]\(&quot;$&quot;#,##0.000\)"/>
    <numFmt numFmtId="180" formatCode="&quot;$&quot;#,##0.00"/>
  </numFmts>
  <fonts count="32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sz val="10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9"/>
      <color rgb="FF333333"/>
      <name val="Calibri"/>
      <charset val="134"/>
      <scheme val="minor"/>
    </font>
    <font>
      <b/>
      <sz val="14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6" fillId="4" borderId="0" xfId="0" applyFont="1" applyFill="1" applyAlignment="1" applyProtection="1">
      <alignment horizontal="left" vertical="center"/>
      <protection locked="0"/>
    </xf>
    <xf numFmtId="0" fontId="0" fillId="4" borderId="0" xfId="0" applyFill="1" applyAlignment="1">
      <alignment vertical="center"/>
    </xf>
    <xf numFmtId="0" fontId="0" fillId="4" borderId="0" xfId="0" applyFill="1"/>
    <xf numFmtId="0" fontId="7" fillId="4" borderId="6" xfId="0" applyFont="1" applyFill="1" applyBorder="1" applyAlignment="1" applyProtection="1">
      <alignment horizontal="center" vertical="top"/>
      <protection locked="0"/>
    </xf>
    <xf numFmtId="0" fontId="7" fillId="4" borderId="7" xfId="0" applyFont="1" applyFill="1" applyBorder="1" applyAlignment="1" applyProtection="1">
      <alignment horizontal="center" vertical="top"/>
      <protection locked="0"/>
    </xf>
    <xf numFmtId="0" fontId="3" fillId="4" borderId="7" xfId="0" applyFont="1" applyFill="1" applyBorder="1" applyAlignment="1" applyProtection="1">
      <alignment horizontal="left" vertical="top"/>
      <protection locked="0"/>
    </xf>
    <xf numFmtId="0" fontId="6" fillId="4" borderId="7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8" fillId="2" borderId="3" xfId="6" applyFont="1" applyFill="1" applyBorder="1" applyAlignment="1">
      <alignment horizontal="center" vertical="center" wrapText="1"/>
    </xf>
    <xf numFmtId="178" fontId="5" fillId="2" borderId="3" xfId="0" applyNumberFormat="1" applyFont="1" applyFill="1" applyBorder="1" applyAlignment="1">
      <alignment horizontal="center" vertical="center" wrapText="1"/>
    </xf>
    <xf numFmtId="0" fontId="8" fillId="2" borderId="4" xfId="6" applyFont="1" applyFill="1" applyBorder="1" applyAlignment="1">
      <alignment horizontal="center" vertical="center" wrapText="1"/>
    </xf>
    <xf numFmtId="178" fontId="5" fillId="2" borderId="4" xfId="0" applyNumberFormat="1" applyFont="1" applyFill="1" applyBorder="1" applyAlignment="1">
      <alignment horizontal="center" vertical="center" wrapText="1"/>
    </xf>
    <xf numFmtId="179" fontId="9" fillId="0" borderId="0" xfId="0" applyNumberFormat="1" applyFont="1" applyAlignment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top"/>
      <protection locked="0"/>
    </xf>
    <xf numFmtId="0" fontId="10" fillId="4" borderId="9" xfId="0" applyFont="1" applyFill="1" applyBorder="1" applyAlignment="1" applyProtection="1">
      <alignment horizontal="center" vertical="top"/>
      <protection locked="0"/>
    </xf>
    <xf numFmtId="0" fontId="1" fillId="2" borderId="10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80" fontId="13" fillId="4" borderId="2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80" fontId="13" fillId="4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Electrostatic-and-Surge-Protection-TVS-ESD_Nexperia-PESD5V0H1BSF_C477989.html" TargetMode="External"/><Relationship Id="rId8" Type="http://schemas.openxmlformats.org/officeDocument/2006/relationships/hyperlink" Target="https://www.lcsc.com/product-detail/Multilayer-Ceramic-Capacitors-MLCC-SMD-SMT_PSA-Prosperity-Dielectrics-FN18X103K500PSG_C525264.html" TargetMode="External"/><Relationship Id="rId7" Type="http://schemas.openxmlformats.org/officeDocument/2006/relationships/hyperlink" Target="https://www.lcsc.com/product-detail/Multilayer-Ceramic-Capacitors-MLCC-SMD-SMT_YAGEO-CC0603JRNPO9BN200_C105621.html" TargetMode="External"/><Relationship Id="rId6" Type="http://schemas.openxmlformats.org/officeDocument/2006/relationships/hyperlink" Target="https://www.lcsc.com/product-detail/Multilayer-Ceramic-Capacitors-MLCC-SMD-SMT_YAGEO-CC0603JRNPO9BN472_C576818.html" TargetMode="External"/><Relationship Id="rId5" Type="http://schemas.openxmlformats.org/officeDocument/2006/relationships/hyperlink" Target="https://www.lcsc.com/product-detail/Multilayer-Ceramic-Capacitors-MLCC-SMD-SMT_PSA-Prosperity-Dielectrics-FN18X223K250PSG_C2929161.html" TargetMode="External"/><Relationship Id="rId40" Type="http://schemas.openxmlformats.org/officeDocument/2006/relationships/hyperlink" Target="https://eu.mouser.com/ProductDetail/Hirose-Connector/BM23FR0.6-40DS-0.35V895?qs=YCa%2FAAYMW01B9fIk2CoAkA%3D%3D" TargetMode="External"/><Relationship Id="rId4" Type="http://schemas.openxmlformats.org/officeDocument/2006/relationships/hyperlink" Target="https://www.lcsc.com/product-detail/Multilayer-Ceramic-Capacitors-MLCC-SMD-SMT_Samsung-Electro-Mechanics-CL10A105KO8NNNC_C1592.html" TargetMode="External"/><Relationship Id="rId39" Type="http://schemas.openxmlformats.org/officeDocument/2006/relationships/hyperlink" Target="https://eu.mouser.com/ProductDetail/Toshiba/TC358870XBGNOK?qs=xZ%2FP%252Ba9zWqb4j%2Fvr1IaN%252BQ%3D%3D" TargetMode="External"/><Relationship Id="rId38" Type="http://schemas.openxmlformats.org/officeDocument/2006/relationships/hyperlink" Target="https://www.lcsc.com/product-detail/Oscillators_JGHC-O3240000153350_C437132.html" TargetMode="External"/><Relationship Id="rId37" Type="http://schemas.openxmlformats.org/officeDocument/2006/relationships/hyperlink" Target="https://www.lcsc.com/product-detail/Crystals_YXC-X50328MSB2GI_C115962.html" TargetMode="External"/><Relationship Id="rId36" Type="http://schemas.openxmlformats.org/officeDocument/2006/relationships/hyperlink" Target="https://www.lcsc.com/product-detail/Translators-Level-Shifters_Texas-Instruments-TXB0102DCUR_C60709.html" TargetMode="External"/><Relationship Id="rId35" Type="http://schemas.openxmlformats.org/officeDocument/2006/relationships/hyperlink" Target="https://www.lcsc.com/product-detail/Microcontroller-Units-MCUs-MPUs-SOCs_STMicroelectronics-STM32F103CBT6_C8304.html" TargetMode="External"/><Relationship Id="rId34" Type="http://schemas.openxmlformats.org/officeDocument/2006/relationships/hyperlink" Target="https://www.lcsc.com/product-detail/Linear-Voltage-Regulators-LDO_Richtek-Tech-RT9193-28GB_C56731.html" TargetMode="External"/><Relationship Id="rId33" Type="http://schemas.openxmlformats.org/officeDocument/2006/relationships/hyperlink" Target="https://www.lcsc.com/product-detail/Battery-Management-ICs_Everanalog-IC-design-EA3036CQBR_C570857.html" TargetMode="External"/><Relationship Id="rId32" Type="http://schemas.openxmlformats.org/officeDocument/2006/relationships/hyperlink" Target="https://www.lcsc.com/product-detail/Tactile-Switches_Omron-Electronics-B3U-1000P_C231329.html" TargetMode="External"/><Relationship Id="rId31" Type="http://schemas.openxmlformats.org/officeDocument/2006/relationships/hyperlink" Target="https://www.lcsc.com/product-detail/Chip-Resistor-Surface-Mount_YAGEO-RT0603BRE072KL_C136954.html" TargetMode="External"/><Relationship Id="rId30" Type="http://schemas.openxmlformats.org/officeDocument/2006/relationships/hyperlink" Target="https://www.lcsc.com/product-detail/Chip-Resistor-Surface-Mount_YAGEO-RC0603JR-0747KL_C127447.html" TargetMode="External"/><Relationship Id="rId3" Type="http://schemas.openxmlformats.org/officeDocument/2006/relationships/hyperlink" Target="https://www.lcsc.com/product-detail/Multilayer-Ceramic-Capacitors-MLCC-SMD-SMT_Samsung-Electro-Mechanics-CL10B104KA8NNNC_C1590.html" TargetMode="External"/><Relationship Id="rId29" Type="http://schemas.openxmlformats.org/officeDocument/2006/relationships/hyperlink" Target="https://www.lcsc.com/product-detail/Chip-Resistor-Surface-Mount_UNI-ROYAL-Uniroyal-Elec-0603WAF220JT5E_C23345.html" TargetMode="External"/><Relationship Id="rId28" Type="http://schemas.openxmlformats.org/officeDocument/2006/relationships/hyperlink" Target="https://www.lcsc.com/product-detail/Chip-Resistor-Surface-Mount_UNI-ROYAL-Uniroyal-Elec-0603WAF1002T5E_C25804.html" TargetMode="External"/><Relationship Id="rId27" Type="http://schemas.openxmlformats.org/officeDocument/2006/relationships/hyperlink" Target="https://www.lcsc.com/product-detail/Chip-Resistor-Surface-Mount_UNI-ROYAL-Uniroyal-Elec-0603WAF5101T5E_C23186.html" TargetMode="External"/><Relationship Id="rId26" Type="http://schemas.openxmlformats.org/officeDocument/2006/relationships/hyperlink" Target="https://www.lcsc.com/product-detail/Chip-Resistor-Surface-Mount_UNI-ROYAL-Uniroyal-Elec-0603WAF1004T5E_C22935.html" TargetMode="External"/><Relationship Id="rId25" Type="http://schemas.openxmlformats.org/officeDocument/2006/relationships/hyperlink" Target="https://www.lcsc.com/product-detail/Chip-Resistor-Surface-Mount_YAGEO-RC0603JR-070RL_C95177.html" TargetMode="External"/><Relationship Id="rId24" Type="http://schemas.openxmlformats.org/officeDocument/2006/relationships/hyperlink" Target="https://www.lcsc.com/product-detail/Chip-Resistor-Surface-Mount_UNI-ROYAL-Uniroyal-Elec-0603WAF1203T5E_C25808.html" TargetMode="External"/><Relationship Id="rId23" Type="http://schemas.openxmlformats.org/officeDocument/2006/relationships/hyperlink" Target="https://www.lcsc.com/product-detail/Chip-Resistor-Surface-Mount_FOJAN-FRC0603F1502TS_C2906995.html" TargetMode="External"/><Relationship Id="rId22" Type="http://schemas.openxmlformats.org/officeDocument/2006/relationships/hyperlink" Target="https://www.lcsc.com/product-detail/Chip-Resistor-Surface-Mount_UNI-ROYAL-Uniroyal-Elec-0603WAF1003T5E_C25803.html" TargetMode="External"/><Relationship Id="rId21" Type="http://schemas.openxmlformats.org/officeDocument/2006/relationships/hyperlink" Target="https://www.lcsc.com/product-detail/Chip-Resistor-Surface-Mount_UNI-ROYAL-Uniroyal-Elec-0603WAF6802T5E_C23231.html" TargetMode="External"/><Relationship Id="rId20" Type="http://schemas.openxmlformats.org/officeDocument/2006/relationships/hyperlink" Target="https://www.lcsc.com/product-detail/Chip-Resistor-Surface-Mount_UNI-ROYAL-Uniroyal-Elec-0603WAF2003T5E_C25811.html" TargetMode="External"/><Relationship Id="rId2" Type="http://schemas.openxmlformats.org/officeDocument/2006/relationships/hyperlink" Target="https://www.lcsc.com/product-detail/Multilayer-Ceramic-Capacitors-MLCC-SMD-SMT_Samwha-Capacitor-CS1608X7R221K500NRB_C5255295.html" TargetMode="External"/><Relationship Id="rId19" Type="http://schemas.openxmlformats.org/officeDocument/2006/relationships/hyperlink" Target="https://www.lcsc.com/product-detail/Chip-Resistor-Surface-Mount_YAGEO-RC0603FR-071KL_C22548.html" TargetMode="External"/><Relationship Id="rId18" Type="http://schemas.openxmlformats.org/officeDocument/2006/relationships/hyperlink" Target="https://www.lcsc.com/product-detail/Light-Emitting-Diodes-LED_Everlight-Elec-16-213-GHC-YR1S1-3T_C74338.html" TargetMode="External"/><Relationship Id="rId17" Type="http://schemas.openxmlformats.org/officeDocument/2006/relationships/hyperlink" Target="https://www.lcsc.com/product-detail/Inductors-SMD_Sunlord-MCL1608S100MT_C51942.html" TargetMode="External"/><Relationship Id="rId16" Type="http://schemas.openxmlformats.org/officeDocument/2006/relationships/hyperlink" Target="https://www.lcsc.com/product-detail/Inductors-SMD_Murata-Electronics-LQM2HPN1R5MG0L_C98034.html" TargetMode="External"/><Relationship Id="rId15" Type="http://schemas.openxmlformats.org/officeDocument/2006/relationships/hyperlink" Target="https://www.lcsc.com/product-detail/D-Sub-DVI-HDMI-Connectors_HanElectricity-HD-A-05H9191N_C18213861.html" TargetMode="External"/><Relationship Id="rId14" Type="http://schemas.openxmlformats.org/officeDocument/2006/relationships/hyperlink" Target="https://www.lcsc.com/product-detail/Pin-Headers_BOOMELE-Boom-Precision-Elec-2-54-2-4P_C192300.html" TargetMode="External"/><Relationship Id="rId13" Type="http://schemas.openxmlformats.org/officeDocument/2006/relationships/hyperlink" Target="https://www.lcsc.com/product-detail/USB-Connectors_Korean-Hroparts-Elec-TYPE-C-31-M-12_C165948.html" TargetMode="External"/><Relationship Id="rId12" Type="http://schemas.openxmlformats.org/officeDocument/2006/relationships/hyperlink" Target="https://www.lcsc.com/product-detail/Ferrite-Beads_Murata-Electronics-BLM18PG121SN1D_C14709.html" TargetMode="External"/><Relationship Id="rId11" Type="http://schemas.openxmlformats.org/officeDocument/2006/relationships/hyperlink" Target="https://www.lcsc.com/product-detail/Resettable-Fuses_Littelfuse-1206L300SLTHYR_C207041.html" TargetMode="External"/><Relationship Id="rId10" Type="http://schemas.openxmlformats.org/officeDocument/2006/relationships/hyperlink" Target="https://www.lcsc.com/product-detail/Electrostatic-and-Surge-Protection-TVS-ESD_TECH-PUBLIC-AZ1045-04F_C2987152.html" TargetMode="External"/><Relationship Id="rId1" Type="http://schemas.openxmlformats.org/officeDocument/2006/relationships/hyperlink" Target="https://www.lcsc.com/product-detail/Multilayer-Ceramic-Capacitors-MLCC-SMD-SMT_HRE-CGA0603X5R106K100JT_C611984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44"/>
  <sheetViews>
    <sheetView tabSelected="1" zoomScale="85" zoomScaleNormal="85" topLeftCell="C20" workbookViewId="0">
      <selection activeCell="R22" sqref="R22"/>
    </sheetView>
  </sheetViews>
  <sheetFormatPr defaultColWidth="9" defaultRowHeight="15"/>
  <cols>
    <col min="2" max="2" width="3.14285714285714" style="1" customWidth="1"/>
    <col min="3" max="3" width="18" style="1" customWidth="1"/>
    <col min="4" max="4" width="27.4285714285714" customWidth="1"/>
    <col min="5" max="5" width="30.8571428571429" customWidth="1"/>
    <col min="6" max="6" width="22.2857142857143" customWidth="1"/>
    <col min="7" max="7" width="25.2" customWidth="1"/>
    <col min="8" max="8" width="19.6571428571429" customWidth="1"/>
    <col min="9" max="9" width="9.74285714285714" customWidth="1"/>
    <col min="10" max="10" width="15.9619047619048" customWidth="1"/>
    <col min="11" max="11" width="17.8571428571429" hidden="1" customWidth="1"/>
    <col min="12" max="12" width="16.7142857142857" customWidth="1"/>
    <col min="13" max="13" width="17.9809523809524" customWidth="1"/>
    <col min="14" max="14" width="16.6380952380952" customWidth="1"/>
    <col min="15" max="15" width="13.4285714285714" customWidth="1"/>
    <col min="16" max="16" width="25.8571428571429" customWidth="1"/>
    <col min="17" max="17" width="26.4285714285714" customWidth="1"/>
    <col min="18" max="18" width="16.5714285714286" customWidth="1"/>
    <col min="19" max="19" width="26.8571428571429" customWidth="1"/>
  </cols>
  <sheetData>
    <row r="1" ht="15.75" spans="1:19">
      <c r="A1" s="2"/>
      <c r="B1" s="3"/>
      <c r="C1" s="3"/>
      <c r="D1" s="4"/>
      <c r="E1" s="4"/>
      <c r="F1" s="4"/>
      <c r="G1" s="4"/>
      <c r="H1" s="4"/>
      <c r="I1" s="4"/>
      <c r="J1" s="4"/>
      <c r="K1" s="22"/>
      <c r="L1" s="22"/>
      <c r="M1" s="22"/>
      <c r="N1" s="22"/>
      <c r="O1" s="22"/>
      <c r="P1" s="22"/>
      <c r="Q1" s="22"/>
      <c r="R1" s="22"/>
      <c r="S1" s="30"/>
    </row>
    <row r="2" ht="15.75" spans="1:19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</row>
    <row r="3" ht="36" spans="1:19">
      <c r="A3" s="2"/>
      <c r="B3" s="6">
        <f>ROW(B3)-ROW($B$2)</f>
        <v>1</v>
      </c>
      <c r="C3" s="7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>
        <v>12</v>
      </c>
      <c r="M3" s="8">
        <f t="shared" ref="M3:M13" si="0">L3*1</f>
        <v>12</v>
      </c>
      <c r="N3" s="8">
        <v>100</v>
      </c>
      <c r="O3" s="23" t="s">
        <v>27</v>
      </c>
      <c r="P3" s="24">
        <v>0.0054</v>
      </c>
      <c r="Q3" s="24">
        <f t="shared" ref="Q3:Q13" si="1">P3*N3</f>
        <v>0.54</v>
      </c>
      <c r="R3" s="8"/>
      <c r="S3" s="31"/>
    </row>
    <row r="4" ht="36" spans="1:19">
      <c r="A4" s="2"/>
      <c r="B4" s="9">
        <f>ROW(B4)-ROW($B$2)</f>
        <v>2</v>
      </c>
      <c r="C4" s="10" t="s">
        <v>18</v>
      </c>
      <c r="D4" s="11" t="s">
        <v>28</v>
      </c>
      <c r="E4" s="11" t="s">
        <v>29</v>
      </c>
      <c r="F4" s="11" t="s">
        <v>21</v>
      </c>
      <c r="G4" s="11" t="s">
        <v>30</v>
      </c>
      <c r="H4" s="11" t="s">
        <v>31</v>
      </c>
      <c r="I4" s="8" t="s">
        <v>24</v>
      </c>
      <c r="J4" s="11" t="s">
        <v>32</v>
      </c>
      <c r="K4" s="11" t="s">
        <v>33</v>
      </c>
      <c r="L4" s="11">
        <v>3</v>
      </c>
      <c r="M4" s="8">
        <f t="shared" si="0"/>
        <v>3</v>
      </c>
      <c r="N4" s="11">
        <v>100</v>
      </c>
      <c r="O4" s="25" t="s">
        <v>27</v>
      </c>
      <c r="P4" s="26">
        <v>0.002</v>
      </c>
      <c r="Q4" s="26">
        <f t="shared" si="1"/>
        <v>0.2</v>
      </c>
      <c r="R4" s="11"/>
      <c r="S4" s="11"/>
    </row>
    <row r="5" ht="36" spans="1:19">
      <c r="A5" s="2"/>
      <c r="B5" s="6">
        <f>ROW(B5)-ROW($B$2)</f>
        <v>3</v>
      </c>
      <c r="C5" s="7" t="s">
        <v>18</v>
      </c>
      <c r="D5" s="8" t="s">
        <v>34</v>
      </c>
      <c r="E5" s="8" t="s">
        <v>35</v>
      </c>
      <c r="F5" s="8" t="s">
        <v>21</v>
      </c>
      <c r="G5" s="8" t="s">
        <v>36</v>
      </c>
      <c r="H5" s="8" t="s">
        <v>37</v>
      </c>
      <c r="I5" s="8" t="s">
        <v>24</v>
      </c>
      <c r="J5" s="8" t="s">
        <v>38</v>
      </c>
      <c r="K5" s="8" t="s">
        <v>39</v>
      </c>
      <c r="L5" s="8">
        <v>18</v>
      </c>
      <c r="M5" s="8">
        <f t="shared" si="0"/>
        <v>18</v>
      </c>
      <c r="N5" s="8">
        <v>100</v>
      </c>
      <c r="O5" s="23" t="s">
        <v>27</v>
      </c>
      <c r="P5" s="24">
        <v>0.003</v>
      </c>
      <c r="Q5" s="24">
        <f t="shared" si="1"/>
        <v>0.3</v>
      </c>
      <c r="R5" s="8"/>
      <c r="S5" s="31"/>
    </row>
    <row r="6" ht="36" spans="1:19">
      <c r="A6" s="2"/>
      <c r="B6" s="9">
        <f>ROW(B6)-ROW($B$2)</f>
        <v>4</v>
      </c>
      <c r="C6" s="10" t="s">
        <v>18</v>
      </c>
      <c r="D6" s="11" t="s">
        <v>40</v>
      </c>
      <c r="E6" s="11" t="s">
        <v>41</v>
      </c>
      <c r="F6" s="11" t="s">
        <v>21</v>
      </c>
      <c r="G6" s="11" t="s">
        <v>42</v>
      </c>
      <c r="H6" s="11" t="s">
        <v>37</v>
      </c>
      <c r="I6" s="8" t="s">
        <v>24</v>
      </c>
      <c r="J6" s="11" t="s">
        <v>43</v>
      </c>
      <c r="K6" s="11" t="s">
        <v>44</v>
      </c>
      <c r="L6" s="11">
        <v>2</v>
      </c>
      <c r="M6" s="8">
        <f t="shared" si="0"/>
        <v>2</v>
      </c>
      <c r="N6" s="11">
        <v>100</v>
      </c>
      <c r="O6" s="25" t="s">
        <v>27</v>
      </c>
      <c r="P6" s="26">
        <v>0.0032</v>
      </c>
      <c r="Q6" s="26">
        <f t="shared" si="1"/>
        <v>0.32</v>
      </c>
      <c r="R6" s="11"/>
      <c r="S6" s="11"/>
    </row>
    <row r="7" ht="24" spans="1:19">
      <c r="A7" s="2"/>
      <c r="B7" s="6">
        <f>ROW(B7)-ROW($B$2)</f>
        <v>5</v>
      </c>
      <c r="C7" s="7" t="s">
        <v>18</v>
      </c>
      <c r="D7" s="8" t="s">
        <v>45</v>
      </c>
      <c r="E7" s="8" t="s">
        <v>46</v>
      </c>
      <c r="F7" s="8" t="s">
        <v>21</v>
      </c>
      <c r="G7" s="8" t="s">
        <v>47</v>
      </c>
      <c r="H7" s="8" t="s">
        <v>48</v>
      </c>
      <c r="I7" s="8" t="s">
        <v>24</v>
      </c>
      <c r="J7" s="8" t="s">
        <v>49</v>
      </c>
      <c r="K7" s="8" t="s">
        <v>50</v>
      </c>
      <c r="L7" s="8">
        <v>1</v>
      </c>
      <c r="M7" s="8">
        <f t="shared" si="0"/>
        <v>1</v>
      </c>
      <c r="N7" s="8">
        <v>100</v>
      </c>
      <c r="O7" s="23" t="s">
        <v>27</v>
      </c>
      <c r="P7" s="24">
        <v>0.0039</v>
      </c>
      <c r="Q7" s="24">
        <f t="shared" si="1"/>
        <v>0.39</v>
      </c>
      <c r="R7" s="8"/>
      <c r="S7" s="31"/>
    </row>
    <row r="8" spans="1:19">
      <c r="A8" s="2"/>
      <c r="B8" s="9">
        <f>ROW(B8)-ROW($B$2)</f>
        <v>6</v>
      </c>
      <c r="C8" s="10" t="s">
        <v>18</v>
      </c>
      <c r="D8" s="11" t="s">
        <v>51</v>
      </c>
      <c r="E8" s="11" t="s">
        <v>52</v>
      </c>
      <c r="F8" s="11" t="s">
        <v>21</v>
      </c>
      <c r="G8" s="11" t="s">
        <v>53</v>
      </c>
      <c r="H8" s="11" t="s">
        <v>54</v>
      </c>
      <c r="I8" s="8" t="s">
        <v>24</v>
      </c>
      <c r="J8" s="11" t="s">
        <v>55</v>
      </c>
      <c r="K8" s="11" t="s">
        <v>56</v>
      </c>
      <c r="L8" s="11">
        <v>1</v>
      </c>
      <c r="M8" s="8">
        <f t="shared" si="0"/>
        <v>1</v>
      </c>
      <c r="N8" s="11">
        <v>20</v>
      </c>
      <c r="O8" s="25" t="s">
        <v>27</v>
      </c>
      <c r="P8" s="26">
        <v>0.0198</v>
      </c>
      <c r="Q8" s="26">
        <f t="shared" si="1"/>
        <v>0.396</v>
      </c>
      <c r="R8" s="11"/>
      <c r="S8" s="11"/>
    </row>
    <row r="9" spans="1:19">
      <c r="A9" s="2"/>
      <c r="B9" s="6">
        <f>ROW(B9)-ROW($B$2)</f>
        <v>7</v>
      </c>
      <c r="C9" s="7" t="s">
        <v>18</v>
      </c>
      <c r="D9" s="8" t="s">
        <v>57</v>
      </c>
      <c r="E9" s="8" t="s">
        <v>58</v>
      </c>
      <c r="F9" s="8" t="s">
        <v>21</v>
      </c>
      <c r="G9" s="8" t="s">
        <v>59</v>
      </c>
      <c r="H9" s="8" t="s">
        <v>54</v>
      </c>
      <c r="I9" s="8" t="s">
        <v>24</v>
      </c>
      <c r="J9" s="8" t="s">
        <v>60</v>
      </c>
      <c r="K9" s="8" t="s">
        <v>61</v>
      </c>
      <c r="L9" s="8">
        <v>2</v>
      </c>
      <c r="M9" s="8">
        <f t="shared" si="0"/>
        <v>2</v>
      </c>
      <c r="N9" s="8">
        <v>100</v>
      </c>
      <c r="O9" s="23" t="s">
        <v>27</v>
      </c>
      <c r="P9" s="24">
        <v>0.0027</v>
      </c>
      <c r="Q9" s="24">
        <f t="shared" si="1"/>
        <v>0.27</v>
      </c>
      <c r="R9" s="8"/>
      <c r="S9" s="31"/>
    </row>
    <row r="10" ht="36" spans="1:19">
      <c r="A10" s="2"/>
      <c r="B10" s="9">
        <f>ROW(B10)-ROW($B$2)</f>
        <v>8</v>
      </c>
      <c r="C10" s="10" t="s">
        <v>18</v>
      </c>
      <c r="D10" s="11" t="s">
        <v>62</v>
      </c>
      <c r="E10" s="11" t="s">
        <v>63</v>
      </c>
      <c r="F10" s="11" t="s">
        <v>21</v>
      </c>
      <c r="G10" s="11" t="s">
        <v>64</v>
      </c>
      <c r="H10" s="11" t="s">
        <v>48</v>
      </c>
      <c r="I10" s="8" t="s">
        <v>24</v>
      </c>
      <c r="J10" s="11" t="s">
        <v>65</v>
      </c>
      <c r="K10" s="11" t="s">
        <v>66</v>
      </c>
      <c r="L10" s="11">
        <v>4</v>
      </c>
      <c r="M10" s="8">
        <f t="shared" si="0"/>
        <v>4</v>
      </c>
      <c r="N10" s="11">
        <v>100</v>
      </c>
      <c r="O10" s="25" t="s">
        <v>27</v>
      </c>
      <c r="P10" s="26">
        <v>0.0014</v>
      </c>
      <c r="Q10" s="26">
        <f t="shared" si="1"/>
        <v>0.14</v>
      </c>
      <c r="R10" s="11"/>
      <c r="S10" s="11"/>
    </row>
    <row r="11" spans="1:19">
      <c r="A11" s="2"/>
      <c r="B11" s="6">
        <f>ROW(B11)-ROW($B$2)</f>
        <v>9</v>
      </c>
      <c r="C11" s="7" t="s">
        <v>67</v>
      </c>
      <c r="D11" s="8" t="s">
        <v>68</v>
      </c>
      <c r="E11" s="8" t="s">
        <v>69</v>
      </c>
      <c r="F11" s="8" t="s">
        <v>70</v>
      </c>
      <c r="G11" s="8" t="s">
        <v>71</v>
      </c>
      <c r="H11" s="8" t="s">
        <v>72</v>
      </c>
      <c r="I11" s="8" t="s">
        <v>24</v>
      </c>
      <c r="J11" s="8" t="s">
        <v>73</v>
      </c>
      <c r="K11" s="8" t="s">
        <v>71</v>
      </c>
      <c r="L11" s="8">
        <v>1</v>
      </c>
      <c r="M11" s="8">
        <f t="shared" si="0"/>
        <v>1</v>
      </c>
      <c r="N11" s="8">
        <v>20</v>
      </c>
      <c r="O11" s="23" t="s">
        <v>27</v>
      </c>
      <c r="P11" s="24">
        <v>0.0312</v>
      </c>
      <c r="Q11" s="24">
        <f t="shared" si="1"/>
        <v>0.624</v>
      </c>
      <c r="R11" s="8"/>
      <c r="S11" s="31"/>
    </row>
    <row r="12" ht="24" spans="1:19">
      <c r="A12" s="2"/>
      <c r="B12" s="9">
        <f>ROW(B12)-ROW($B$2)</f>
        <v>10</v>
      </c>
      <c r="C12" s="10" t="s">
        <v>67</v>
      </c>
      <c r="D12" s="11" t="s">
        <v>74</v>
      </c>
      <c r="E12" s="11" t="s">
        <v>75</v>
      </c>
      <c r="F12" s="11" t="s">
        <v>76</v>
      </c>
      <c r="G12" s="11" t="s">
        <v>77</v>
      </c>
      <c r="H12" s="11" t="s">
        <v>78</v>
      </c>
      <c r="I12" s="8" t="s">
        <v>24</v>
      </c>
      <c r="J12" s="11" t="s">
        <v>79</v>
      </c>
      <c r="K12" s="11" t="s">
        <v>77</v>
      </c>
      <c r="L12" s="11">
        <v>2</v>
      </c>
      <c r="M12" s="8">
        <f t="shared" si="0"/>
        <v>2</v>
      </c>
      <c r="N12" s="11">
        <v>10</v>
      </c>
      <c r="O12" s="25" t="s">
        <v>27</v>
      </c>
      <c r="P12" s="26">
        <v>0.0511</v>
      </c>
      <c r="Q12" s="26">
        <f t="shared" si="1"/>
        <v>0.511</v>
      </c>
      <c r="R12" s="11"/>
      <c r="S12" s="11"/>
    </row>
    <row r="13" spans="1:19">
      <c r="A13" s="2"/>
      <c r="B13" s="6">
        <f>ROW(B13)-ROW($B$2)</f>
        <v>11</v>
      </c>
      <c r="C13" s="7" t="s">
        <v>80</v>
      </c>
      <c r="D13" s="8" t="s">
        <v>81</v>
      </c>
      <c r="E13" s="8" t="s">
        <v>82</v>
      </c>
      <c r="F13" s="8" t="s">
        <v>83</v>
      </c>
      <c r="G13" s="8" t="s">
        <v>84</v>
      </c>
      <c r="H13" s="8" t="s">
        <v>85</v>
      </c>
      <c r="I13" s="8" t="s">
        <v>24</v>
      </c>
      <c r="J13" s="8" t="s">
        <v>86</v>
      </c>
      <c r="K13" s="8" t="s">
        <v>84</v>
      </c>
      <c r="L13" s="8">
        <v>1</v>
      </c>
      <c r="M13" s="8">
        <f t="shared" si="0"/>
        <v>1</v>
      </c>
      <c r="N13" s="8">
        <v>5</v>
      </c>
      <c r="O13" s="23" t="s">
        <v>27</v>
      </c>
      <c r="P13" s="24">
        <v>0.2596</v>
      </c>
      <c r="Q13" s="24">
        <f t="shared" si="1"/>
        <v>1.298</v>
      </c>
      <c r="R13" s="8"/>
      <c r="S13" s="31"/>
    </row>
    <row r="14" ht="36" spans="1:19">
      <c r="A14" s="2"/>
      <c r="B14" s="6">
        <f t="shared" ref="B14:B42" si="2">ROW(B14)-ROW($B$2)</f>
        <v>12</v>
      </c>
      <c r="C14" s="7" t="s">
        <v>87</v>
      </c>
      <c r="D14" s="8" t="s">
        <v>88</v>
      </c>
      <c r="E14" s="8" t="s">
        <v>89</v>
      </c>
      <c r="F14" s="8" t="s">
        <v>90</v>
      </c>
      <c r="G14" s="8" t="s">
        <v>91</v>
      </c>
      <c r="H14" s="8" t="s">
        <v>92</v>
      </c>
      <c r="I14" s="8" t="s">
        <v>24</v>
      </c>
      <c r="J14" s="8" t="s">
        <v>93</v>
      </c>
      <c r="K14" s="8" t="s">
        <v>94</v>
      </c>
      <c r="L14" s="8">
        <v>5</v>
      </c>
      <c r="M14" s="8">
        <v>5</v>
      </c>
      <c r="N14" s="8">
        <v>100</v>
      </c>
      <c r="O14" s="23" t="s">
        <v>27</v>
      </c>
      <c r="P14" s="24">
        <v>0.0066</v>
      </c>
      <c r="Q14" s="24">
        <f t="shared" ref="Q14:Q42" si="3">P14*N14</f>
        <v>0.66</v>
      </c>
      <c r="R14" s="8"/>
      <c r="S14" s="31"/>
    </row>
    <row r="15" ht="24" spans="1:19">
      <c r="A15" s="2"/>
      <c r="B15" s="9">
        <f t="shared" si="2"/>
        <v>13</v>
      </c>
      <c r="C15" s="10" t="s">
        <v>95</v>
      </c>
      <c r="D15" s="11" t="s">
        <v>96</v>
      </c>
      <c r="E15" s="11" t="s">
        <v>97</v>
      </c>
      <c r="F15" s="11" t="s">
        <v>76</v>
      </c>
      <c r="G15" s="11" t="s">
        <v>98</v>
      </c>
      <c r="H15" s="11" t="s">
        <v>99</v>
      </c>
      <c r="I15" s="8" t="s">
        <v>24</v>
      </c>
      <c r="J15" s="11" t="s">
        <v>100</v>
      </c>
      <c r="K15" s="11" t="s">
        <v>98</v>
      </c>
      <c r="L15" s="11">
        <v>1</v>
      </c>
      <c r="M15" s="8">
        <f t="shared" ref="M14:M42" si="4">L15*1</f>
        <v>1</v>
      </c>
      <c r="N15" s="11">
        <v>5</v>
      </c>
      <c r="O15" s="25" t="s">
        <v>27</v>
      </c>
      <c r="P15" s="26">
        <v>0.163</v>
      </c>
      <c r="Q15" s="26">
        <f t="shared" si="3"/>
        <v>0.815</v>
      </c>
      <c r="R15" s="11"/>
      <c r="S15" s="11"/>
    </row>
    <row r="16" ht="48" spans="1:19">
      <c r="A16" s="2"/>
      <c r="B16" s="6">
        <f t="shared" si="2"/>
        <v>14</v>
      </c>
      <c r="C16" s="10" t="s">
        <v>101</v>
      </c>
      <c r="D16" s="8" t="s">
        <v>102</v>
      </c>
      <c r="E16" s="8" t="s">
        <v>103</v>
      </c>
      <c r="F16" s="8" t="s">
        <v>76</v>
      </c>
      <c r="G16" s="8" t="s">
        <v>104</v>
      </c>
      <c r="H16" s="8" t="s">
        <v>105</v>
      </c>
      <c r="I16" s="8" t="s">
        <v>24</v>
      </c>
      <c r="J16" s="8" t="s">
        <v>106</v>
      </c>
      <c r="K16" s="8" t="s">
        <v>106</v>
      </c>
      <c r="L16" s="8">
        <v>1</v>
      </c>
      <c r="M16" s="8">
        <f t="shared" si="4"/>
        <v>1</v>
      </c>
      <c r="N16" s="8">
        <v>20</v>
      </c>
      <c r="O16" s="23" t="s">
        <v>27</v>
      </c>
      <c r="P16" s="24">
        <v>0.0365</v>
      </c>
      <c r="Q16" s="24">
        <f t="shared" si="3"/>
        <v>0.73</v>
      </c>
      <c r="R16" s="8"/>
      <c r="S16" s="31"/>
    </row>
    <row r="17" ht="24" spans="1:19">
      <c r="A17" s="2"/>
      <c r="B17" s="9">
        <f t="shared" si="2"/>
        <v>15</v>
      </c>
      <c r="C17" s="10" t="s">
        <v>101</v>
      </c>
      <c r="D17" s="11" t="s">
        <v>107</v>
      </c>
      <c r="E17" s="11" t="s">
        <v>108</v>
      </c>
      <c r="F17" s="11" t="s">
        <v>76</v>
      </c>
      <c r="G17" s="11" t="s">
        <v>109</v>
      </c>
      <c r="H17" s="11" t="s">
        <v>110</v>
      </c>
      <c r="I17" s="8" t="s">
        <v>24</v>
      </c>
      <c r="J17" s="11" t="s">
        <v>24</v>
      </c>
      <c r="K17" s="11" t="s">
        <v>109</v>
      </c>
      <c r="L17" s="11">
        <v>1</v>
      </c>
      <c r="M17" s="8">
        <f t="shared" si="4"/>
        <v>1</v>
      </c>
      <c r="N17" s="11">
        <v>1</v>
      </c>
      <c r="O17" s="25" t="s">
        <v>111</v>
      </c>
      <c r="P17" s="26">
        <v>1.5</v>
      </c>
      <c r="Q17" s="26">
        <f t="shared" si="3"/>
        <v>1.5</v>
      </c>
      <c r="R17" s="11"/>
      <c r="S17" s="11"/>
    </row>
    <row r="18" ht="36" spans="1:19">
      <c r="A18" s="2"/>
      <c r="B18" s="6">
        <f t="shared" si="2"/>
        <v>16</v>
      </c>
      <c r="C18" s="7" t="s">
        <v>112</v>
      </c>
      <c r="D18" s="8" t="s">
        <v>113</v>
      </c>
      <c r="E18" s="8" t="s">
        <v>114</v>
      </c>
      <c r="F18" s="8" t="s">
        <v>76</v>
      </c>
      <c r="G18" s="8" t="s">
        <v>115</v>
      </c>
      <c r="H18" s="8" t="s">
        <v>116</v>
      </c>
      <c r="I18" s="8" t="s">
        <v>24</v>
      </c>
      <c r="J18" s="8" t="s">
        <v>117</v>
      </c>
      <c r="K18" s="8" t="s">
        <v>115</v>
      </c>
      <c r="L18" s="8">
        <v>1</v>
      </c>
      <c r="M18" s="8">
        <f t="shared" si="4"/>
        <v>1</v>
      </c>
      <c r="N18" s="8">
        <v>5</v>
      </c>
      <c r="O18" s="23" t="s">
        <v>27</v>
      </c>
      <c r="P18" s="24">
        <v>0.0779</v>
      </c>
      <c r="Q18" s="24">
        <f t="shared" si="3"/>
        <v>0.3895</v>
      </c>
      <c r="R18" s="8"/>
      <c r="S18" s="31"/>
    </row>
    <row r="19" ht="36" spans="1:19">
      <c r="A19" s="2"/>
      <c r="B19" s="9">
        <f t="shared" si="2"/>
        <v>17</v>
      </c>
      <c r="C19" s="10" t="s">
        <v>118</v>
      </c>
      <c r="D19" s="11" t="s">
        <v>119</v>
      </c>
      <c r="E19" s="11" t="s">
        <v>120</v>
      </c>
      <c r="F19" s="11" t="s">
        <v>121</v>
      </c>
      <c r="G19" s="11" t="s">
        <v>122</v>
      </c>
      <c r="H19" s="11" t="s">
        <v>92</v>
      </c>
      <c r="I19" s="8" t="s">
        <v>24</v>
      </c>
      <c r="J19" s="11" t="s">
        <v>123</v>
      </c>
      <c r="K19" s="11" t="s">
        <v>124</v>
      </c>
      <c r="L19" s="11">
        <v>3</v>
      </c>
      <c r="M19" s="8">
        <f t="shared" si="4"/>
        <v>3</v>
      </c>
      <c r="N19" s="11">
        <v>5</v>
      </c>
      <c r="O19" s="25" t="s">
        <v>27</v>
      </c>
      <c r="P19" s="26">
        <v>0.1029</v>
      </c>
      <c r="Q19" s="26">
        <f t="shared" si="3"/>
        <v>0.5145</v>
      </c>
      <c r="R19" s="11"/>
      <c r="S19" s="11"/>
    </row>
    <row r="20" ht="24" spans="1:19">
      <c r="A20" s="2"/>
      <c r="B20" s="6">
        <f t="shared" si="2"/>
        <v>18</v>
      </c>
      <c r="C20" s="10" t="s">
        <v>118</v>
      </c>
      <c r="D20" s="8" t="s">
        <v>125</v>
      </c>
      <c r="E20" s="8" t="s">
        <v>126</v>
      </c>
      <c r="F20" s="8" t="s">
        <v>90</v>
      </c>
      <c r="G20" s="8" t="s">
        <v>127</v>
      </c>
      <c r="H20" s="8" t="s">
        <v>128</v>
      </c>
      <c r="I20" s="8" t="s">
        <v>24</v>
      </c>
      <c r="J20" s="8" t="s">
        <v>129</v>
      </c>
      <c r="K20" s="8" t="s">
        <v>130</v>
      </c>
      <c r="L20" s="8">
        <v>2</v>
      </c>
      <c r="M20" s="8">
        <f t="shared" si="4"/>
        <v>2</v>
      </c>
      <c r="N20" s="8">
        <v>20</v>
      </c>
      <c r="O20" s="23" t="s">
        <v>27</v>
      </c>
      <c r="P20" s="27">
        <v>0.0173</v>
      </c>
      <c r="Q20" s="24">
        <f t="shared" si="3"/>
        <v>0.346</v>
      </c>
      <c r="R20" s="8"/>
      <c r="S20" s="31"/>
    </row>
    <row r="21" ht="24" spans="1:19">
      <c r="A21" s="2"/>
      <c r="B21" s="9">
        <f t="shared" si="2"/>
        <v>19</v>
      </c>
      <c r="C21" s="10" t="s">
        <v>131</v>
      </c>
      <c r="D21" s="11" t="s">
        <v>132</v>
      </c>
      <c r="E21" s="11" t="s">
        <v>133</v>
      </c>
      <c r="F21" s="11" t="s">
        <v>134</v>
      </c>
      <c r="G21" s="11" t="s">
        <v>135</v>
      </c>
      <c r="H21" s="11" t="s">
        <v>136</v>
      </c>
      <c r="I21" s="8" t="s">
        <v>24</v>
      </c>
      <c r="J21" s="11" t="s">
        <v>137</v>
      </c>
      <c r="K21" s="11" t="s">
        <v>138</v>
      </c>
      <c r="L21" s="11">
        <v>2</v>
      </c>
      <c r="M21" s="8">
        <f t="shared" si="4"/>
        <v>2</v>
      </c>
      <c r="N21" s="11">
        <v>10</v>
      </c>
      <c r="O21" s="25" t="s">
        <v>27</v>
      </c>
      <c r="P21" s="26">
        <v>0.0554</v>
      </c>
      <c r="Q21" s="26">
        <f t="shared" si="3"/>
        <v>0.554</v>
      </c>
      <c r="R21" s="11"/>
      <c r="S21" s="11"/>
    </row>
    <row r="22" spans="1:19">
      <c r="A22" s="2"/>
      <c r="B22" s="6">
        <f t="shared" si="2"/>
        <v>20</v>
      </c>
      <c r="C22" s="7" t="s">
        <v>139</v>
      </c>
      <c r="D22" s="8" t="s">
        <v>140</v>
      </c>
      <c r="E22" s="8" t="s">
        <v>141</v>
      </c>
      <c r="F22" s="8" t="s">
        <v>142</v>
      </c>
      <c r="G22" s="8" t="s">
        <v>143</v>
      </c>
      <c r="H22" s="8" t="s">
        <v>54</v>
      </c>
      <c r="I22" s="8" t="s">
        <v>24</v>
      </c>
      <c r="J22" s="8" t="s">
        <v>144</v>
      </c>
      <c r="K22" s="8" t="s">
        <v>145</v>
      </c>
      <c r="L22" s="8">
        <v>6</v>
      </c>
      <c r="M22" s="8">
        <f t="shared" si="4"/>
        <v>6</v>
      </c>
      <c r="N22" s="8">
        <v>100</v>
      </c>
      <c r="O22" s="23" t="s">
        <v>27</v>
      </c>
      <c r="P22" s="24">
        <v>0.001</v>
      </c>
      <c r="Q22" s="24">
        <f t="shared" si="3"/>
        <v>0.1</v>
      </c>
      <c r="R22" s="32" t="s">
        <v>146</v>
      </c>
      <c r="S22" s="31"/>
    </row>
    <row r="23" ht="36" spans="1:19">
      <c r="A23" s="2"/>
      <c r="B23" s="9">
        <f t="shared" si="2"/>
        <v>21</v>
      </c>
      <c r="C23" s="10" t="s">
        <v>139</v>
      </c>
      <c r="D23" s="11" t="s">
        <v>147</v>
      </c>
      <c r="E23" s="11" t="s">
        <v>148</v>
      </c>
      <c r="F23" s="11" t="s">
        <v>142</v>
      </c>
      <c r="G23" s="11" t="s">
        <v>149</v>
      </c>
      <c r="H23" s="11" t="s">
        <v>150</v>
      </c>
      <c r="I23" s="8" t="s">
        <v>24</v>
      </c>
      <c r="J23" s="11" t="s">
        <v>151</v>
      </c>
      <c r="K23" s="11" t="s">
        <v>152</v>
      </c>
      <c r="L23" s="11">
        <v>1</v>
      </c>
      <c r="M23" s="8">
        <f t="shared" si="4"/>
        <v>1</v>
      </c>
      <c r="N23" s="11">
        <v>100</v>
      </c>
      <c r="O23" s="25" t="s">
        <v>27</v>
      </c>
      <c r="P23" s="26">
        <v>0.001</v>
      </c>
      <c r="Q23" s="26">
        <f t="shared" si="3"/>
        <v>0.1</v>
      </c>
      <c r="R23" s="11"/>
      <c r="S23" s="11"/>
    </row>
    <row r="24" ht="36" spans="1:19">
      <c r="A24" s="2"/>
      <c r="B24" s="6">
        <f t="shared" si="2"/>
        <v>22</v>
      </c>
      <c r="C24" s="7" t="s">
        <v>139</v>
      </c>
      <c r="D24" s="8" t="s">
        <v>153</v>
      </c>
      <c r="E24" s="8" t="s">
        <v>154</v>
      </c>
      <c r="F24" s="11" t="s">
        <v>142</v>
      </c>
      <c r="G24" s="8" t="s">
        <v>155</v>
      </c>
      <c r="H24" s="8" t="s">
        <v>150</v>
      </c>
      <c r="I24" s="8" t="s">
        <v>24</v>
      </c>
      <c r="J24" s="8" t="s">
        <v>156</v>
      </c>
      <c r="K24" s="8" t="s">
        <v>157</v>
      </c>
      <c r="L24" s="8">
        <v>1</v>
      </c>
      <c r="M24" s="8">
        <f t="shared" si="4"/>
        <v>1</v>
      </c>
      <c r="N24" s="8">
        <v>100</v>
      </c>
      <c r="O24" s="23" t="s">
        <v>27</v>
      </c>
      <c r="P24" s="24">
        <v>0.001</v>
      </c>
      <c r="Q24" s="24">
        <f t="shared" si="3"/>
        <v>0.1</v>
      </c>
      <c r="R24" s="8"/>
      <c r="S24" s="31"/>
    </row>
    <row r="25" ht="36" spans="1:19">
      <c r="A25" s="2"/>
      <c r="B25" s="9">
        <f t="shared" si="2"/>
        <v>23</v>
      </c>
      <c r="C25" s="10" t="s">
        <v>139</v>
      </c>
      <c r="D25" s="11" t="s">
        <v>158</v>
      </c>
      <c r="E25" s="11" t="s">
        <v>159</v>
      </c>
      <c r="F25" s="11" t="s">
        <v>142</v>
      </c>
      <c r="G25" s="11" t="s">
        <v>160</v>
      </c>
      <c r="H25" s="11" t="s">
        <v>161</v>
      </c>
      <c r="I25" s="8" t="s">
        <v>24</v>
      </c>
      <c r="J25" s="11" t="s">
        <v>162</v>
      </c>
      <c r="K25" s="11" t="s">
        <v>163</v>
      </c>
      <c r="L25" s="11">
        <v>2</v>
      </c>
      <c r="M25" s="8">
        <f t="shared" si="4"/>
        <v>2</v>
      </c>
      <c r="N25" s="11">
        <v>100</v>
      </c>
      <c r="O25" s="25" t="s">
        <v>27</v>
      </c>
      <c r="P25" s="26">
        <v>0.001</v>
      </c>
      <c r="Q25" s="26">
        <f t="shared" si="3"/>
        <v>0.1</v>
      </c>
      <c r="R25" s="11"/>
      <c r="S25" s="11"/>
    </row>
    <row r="26" ht="36" spans="1:19">
      <c r="A26" s="2"/>
      <c r="B26" s="6">
        <f t="shared" si="2"/>
        <v>24</v>
      </c>
      <c r="C26" s="7" t="s">
        <v>139</v>
      </c>
      <c r="D26" s="8" t="s">
        <v>164</v>
      </c>
      <c r="E26" s="8" t="s">
        <v>165</v>
      </c>
      <c r="F26" s="11" t="s">
        <v>142</v>
      </c>
      <c r="G26" s="8" t="s">
        <v>166</v>
      </c>
      <c r="H26" s="8" t="s">
        <v>167</v>
      </c>
      <c r="I26" s="8" t="s">
        <v>24</v>
      </c>
      <c r="J26" s="8" t="s">
        <v>168</v>
      </c>
      <c r="K26" s="8" t="s">
        <v>169</v>
      </c>
      <c r="L26" s="8">
        <v>1</v>
      </c>
      <c r="M26" s="8">
        <f t="shared" si="4"/>
        <v>1</v>
      </c>
      <c r="N26" s="8">
        <v>100</v>
      </c>
      <c r="O26" s="23" t="s">
        <v>27</v>
      </c>
      <c r="P26" s="24">
        <v>0.001</v>
      </c>
      <c r="Q26" s="24">
        <f t="shared" si="3"/>
        <v>0.1</v>
      </c>
      <c r="R26" s="8"/>
      <c r="S26" s="31"/>
    </row>
    <row r="27" ht="36" spans="1:19">
      <c r="A27" s="2"/>
      <c r="B27" s="9">
        <f t="shared" si="2"/>
        <v>25</v>
      </c>
      <c r="C27" s="10" t="s">
        <v>139</v>
      </c>
      <c r="D27" s="11" t="s">
        <v>170</v>
      </c>
      <c r="E27" s="11" t="s">
        <v>171</v>
      </c>
      <c r="F27" s="11" t="s">
        <v>142</v>
      </c>
      <c r="G27" s="11" t="s">
        <v>172</v>
      </c>
      <c r="H27" s="11" t="s">
        <v>150</v>
      </c>
      <c r="I27" s="8" t="s">
        <v>24</v>
      </c>
      <c r="J27" s="11" t="s">
        <v>173</v>
      </c>
      <c r="K27" s="11" t="s">
        <v>174</v>
      </c>
      <c r="L27" s="11">
        <v>1</v>
      </c>
      <c r="M27" s="8">
        <f t="shared" si="4"/>
        <v>1</v>
      </c>
      <c r="N27" s="11">
        <v>100</v>
      </c>
      <c r="O27" s="25" t="s">
        <v>27</v>
      </c>
      <c r="P27" s="26">
        <v>0.001</v>
      </c>
      <c r="Q27" s="26">
        <f t="shared" si="3"/>
        <v>0.1</v>
      </c>
      <c r="R27" s="11"/>
      <c r="S27" s="11"/>
    </row>
    <row r="28" spans="1:19">
      <c r="A28" s="2"/>
      <c r="B28" s="6">
        <f t="shared" si="2"/>
        <v>26</v>
      </c>
      <c r="C28" s="7" t="s">
        <v>139</v>
      </c>
      <c r="D28" s="8" t="s">
        <v>175</v>
      </c>
      <c r="E28" s="8" t="s">
        <v>176</v>
      </c>
      <c r="F28" s="8" t="s">
        <v>142</v>
      </c>
      <c r="G28" s="8" t="s">
        <v>177</v>
      </c>
      <c r="H28" s="8" t="s">
        <v>54</v>
      </c>
      <c r="I28" s="8" t="s">
        <v>24</v>
      </c>
      <c r="J28" s="8" t="s">
        <v>178</v>
      </c>
      <c r="K28" s="8" t="s">
        <v>179</v>
      </c>
      <c r="L28" s="8">
        <v>2</v>
      </c>
      <c r="M28" s="8">
        <f t="shared" si="4"/>
        <v>2</v>
      </c>
      <c r="N28" s="8">
        <v>100</v>
      </c>
      <c r="O28" s="23" t="s">
        <v>27</v>
      </c>
      <c r="P28" s="24">
        <v>0.0011</v>
      </c>
      <c r="Q28" s="24">
        <f t="shared" si="3"/>
        <v>0.11</v>
      </c>
      <c r="R28" s="8"/>
      <c r="S28" s="31"/>
    </row>
    <row r="29" ht="36" spans="1:19">
      <c r="A29" s="2"/>
      <c r="B29" s="9">
        <f t="shared" si="2"/>
        <v>27</v>
      </c>
      <c r="C29" s="10" t="s">
        <v>139</v>
      </c>
      <c r="D29" s="11" t="s">
        <v>180</v>
      </c>
      <c r="E29" s="11" t="s">
        <v>181</v>
      </c>
      <c r="F29" s="11" t="s">
        <v>142</v>
      </c>
      <c r="G29" s="11" t="s">
        <v>182</v>
      </c>
      <c r="H29" s="11" t="s">
        <v>150</v>
      </c>
      <c r="I29" s="8" t="s">
        <v>24</v>
      </c>
      <c r="J29" s="11" t="s">
        <v>183</v>
      </c>
      <c r="K29" s="11" t="s">
        <v>184</v>
      </c>
      <c r="L29" s="11">
        <v>1</v>
      </c>
      <c r="M29" s="8">
        <f t="shared" si="4"/>
        <v>1</v>
      </c>
      <c r="N29" s="11">
        <v>100</v>
      </c>
      <c r="O29" s="25" t="s">
        <v>27</v>
      </c>
      <c r="P29" s="26">
        <v>0.0011</v>
      </c>
      <c r="Q29" s="26">
        <f t="shared" si="3"/>
        <v>0.11</v>
      </c>
      <c r="R29" s="11"/>
      <c r="S29" s="11"/>
    </row>
    <row r="30" ht="36" spans="1:19">
      <c r="A30" s="2"/>
      <c r="B30" s="6">
        <f t="shared" si="2"/>
        <v>28</v>
      </c>
      <c r="C30" s="7" t="s">
        <v>139</v>
      </c>
      <c r="D30" s="8" t="s">
        <v>185</v>
      </c>
      <c r="E30" s="8" t="s">
        <v>186</v>
      </c>
      <c r="F30" s="8" t="s">
        <v>142</v>
      </c>
      <c r="G30" s="8" t="s">
        <v>187</v>
      </c>
      <c r="H30" s="8" t="s">
        <v>161</v>
      </c>
      <c r="I30" s="8" t="s">
        <v>24</v>
      </c>
      <c r="J30" s="8" t="s">
        <v>188</v>
      </c>
      <c r="K30" s="8" t="s">
        <v>189</v>
      </c>
      <c r="L30" s="8">
        <v>2</v>
      </c>
      <c r="M30" s="8">
        <f t="shared" si="4"/>
        <v>2</v>
      </c>
      <c r="N30" s="8">
        <v>100</v>
      </c>
      <c r="O30" s="23" t="s">
        <v>27</v>
      </c>
      <c r="P30" s="24">
        <v>0.001</v>
      </c>
      <c r="Q30" s="24">
        <f t="shared" si="3"/>
        <v>0.1</v>
      </c>
      <c r="R30" s="8"/>
      <c r="S30" s="31"/>
    </row>
    <row r="31" ht="48" spans="1:19">
      <c r="A31" s="2"/>
      <c r="B31" s="9">
        <f t="shared" si="2"/>
        <v>29</v>
      </c>
      <c r="C31" s="10" t="s">
        <v>139</v>
      </c>
      <c r="D31" s="11" t="s">
        <v>190</v>
      </c>
      <c r="E31" s="11" t="s">
        <v>191</v>
      </c>
      <c r="F31" s="11" t="s">
        <v>142</v>
      </c>
      <c r="G31" s="11" t="s">
        <v>192</v>
      </c>
      <c r="H31" s="11" t="s">
        <v>150</v>
      </c>
      <c r="I31" s="8" t="s">
        <v>24</v>
      </c>
      <c r="J31" s="11" t="s">
        <v>193</v>
      </c>
      <c r="K31" s="11" t="s">
        <v>194</v>
      </c>
      <c r="L31" s="11">
        <v>10</v>
      </c>
      <c r="M31" s="8">
        <f t="shared" si="4"/>
        <v>10</v>
      </c>
      <c r="N31" s="11">
        <v>100</v>
      </c>
      <c r="O31" s="25" t="s">
        <v>27</v>
      </c>
      <c r="P31" s="26">
        <v>0.001</v>
      </c>
      <c r="Q31" s="26">
        <f t="shared" si="3"/>
        <v>0.1</v>
      </c>
      <c r="R31" s="33" t="s">
        <v>195</v>
      </c>
      <c r="S31" s="11"/>
    </row>
    <row r="32" ht="36" spans="1:19">
      <c r="A32" s="2"/>
      <c r="B32" s="6">
        <f t="shared" si="2"/>
        <v>30</v>
      </c>
      <c r="C32" s="7" t="s">
        <v>139</v>
      </c>
      <c r="D32" s="8" t="s">
        <v>196</v>
      </c>
      <c r="E32" s="8" t="s">
        <v>197</v>
      </c>
      <c r="F32" s="8" t="s">
        <v>142</v>
      </c>
      <c r="G32" s="8" t="s">
        <v>198</v>
      </c>
      <c r="H32" s="8" t="s">
        <v>150</v>
      </c>
      <c r="I32" s="8" t="s">
        <v>24</v>
      </c>
      <c r="J32" s="8" t="s">
        <v>199</v>
      </c>
      <c r="K32" s="8" t="s">
        <v>200</v>
      </c>
      <c r="L32" s="8">
        <v>2</v>
      </c>
      <c r="M32" s="8">
        <f t="shared" si="4"/>
        <v>2</v>
      </c>
      <c r="N32" s="8">
        <v>100</v>
      </c>
      <c r="O32" s="23" t="s">
        <v>27</v>
      </c>
      <c r="P32" s="24">
        <v>0.001</v>
      </c>
      <c r="Q32" s="24">
        <f t="shared" si="3"/>
        <v>0.1</v>
      </c>
      <c r="R32" s="8"/>
      <c r="S32" s="31"/>
    </row>
    <row r="33" spans="1:19">
      <c r="A33" s="2"/>
      <c r="B33" s="9">
        <f t="shared" si="2"/>
        <v>31</v>
      </c>
      <c r="C33" s="10"/>
      <c r="D33" s="11" t="s">
        <v>201</v>
      </c>
      <c r="E33" s="11" t="s">
        <v>202</v>
      </c>
      <c r="F33" s="11" t="s">
        <v>142</v>
      </c>
      <c r="G33" s="11" t="s">
        <v>203</v>
      </c>
      <c r="H33" s="11" t="s">
        <v>54</v>
      </c>
      <c r="I33" s="8" t="s">
        <v>24</v>
      </c>
      <c r="J33" s="11" t="s">
        <v>204</v>
      </c>
      <c r="K33" s="11" t="s">
        <v>205</v>
      </c>
      <c r="L33" s="11">
        <v>3</v>
      </c>
      <c r="M33" s="8">
        <f t="shared" si="4"/>
        <v>3</v>
      </c>
      <c r="N33" s="11">
        <v>100</v>
      </c>
      <c r="O33" s="25" t="s">
        <v>27</v>
      </c>
      <c r="P33" s="26">
        <v>0.0011</v>
      </c>
      <c r="Q33" s="26">
        <f t="shared" si="3"/>
        <v>0.11</v>
      </c>
      <c r="R33" s="11"/>
      <c r="S33" s="11"/>
    </row>
    <row r="34" spans="1:19">
      <c r="A34" s="2"/>
      <c r="B34" s="6">
        <f t="shared" si="2"/>
        <v>32</v>
      </c>
      <c r="C34" s="7" t="s">
        <v>139</v>
      </c>
      <c r="D34" s="8" t="s">
        <v>206</v>
      </c>
      <c r="E34" s="8" t="s">
        <v>207</v>
      </c>
      <c r="F34" s="8" t="s">
        <v>142</v>
      </c>
      <c r="G34" s="8" t="s">
        <v>208</v>
      </c>
      <c r="H34" s="8" t="s">
        <v>54</v>
      </c>
      <c r="I34" s="8" t="s">
        <v>24</v>
      </c>
      <c r="J34" s="8" t="s">
        <v>209</v>
      </c>
      <c r="K34" s="8" t="s">
        <v>210</v>
      </c>
      <c r="L34" s="8">
        <v>1</v>
      </c>
      <c r="M34" s="8">
        <f t="shared" si="4"/>
        <v>1</v>
      </c>
      <c r="N34" s="8">
        <v>20</v>
      </c>
      <c r="O34" s="23" t="s">
        <v>27</v>
      </c>
      <c r="P34" s="24">
        <v>0.027</v>
      </c>
      <c r="Q34" s="24">
        <f t="shared" si="3"/>
        <v>0.54</v>
      </c>
      <c r="R34" s="8"/>
      <c r="S34" s="31"/>
    </row>
    <row r="35" spans="1:19">
      <c r="A35" s="2"/>
      <c r="B35" s="9">
        <f t="shared" si="2"/>
        <v>33</v>
      </c>
      <c r="C35" s="10" t="s">
        <v>211</v>
      </c>
      <c r="D35" s="11" t="s">
        <v>212</v>
      </c>
      <c r="E35" s="11" t="s">
        <v>213</v>
      </c>
      <c r="F35" s="11" t="s">
        <v>76</v>
      </c>
      <c r="G35" s="11" t="s">
        <v>214</v>
      </c>
      <c r="H35" s="11" t="s">
        <v>215</v>
      </c>
      <c r="I35" s="8" t="s">
        <v>24</v>
      </c>
      <c r="J35" s="11" t="s">
        <v>216</v>
      </c>
      <c r="K35" s="11" t="s">
        <v>214</v>
      </c>
      <c r="L35" s="11">
        <v>1</v>
      </c>
      <c r="M35" s="8">
        <f t="shared" si="4"/>
        <v>1</v>
      </c>
      <c r="N35" s="11">
        <v>5</v>
      </c>
      <c r="O35" s="25" t="s">
        <v>27</v>
      </c>
      <c r="P35" s="26">
        <v>0.1477</v>
      </c>
      <c r="Q35" s="26">
        <f t="shared" si="3"/>
        <v>0.7385</v>
      </c>
      <c r="R35" s="11"/>
      <c r="S35" s="11"/>
    </row>
    <row r="36" ht="24" spans="1:19">
      <c r="A36" s="2"/>
      <c r="B36" s="6">
        <f t="shared" si="2"/>
        <v>34</v>
      </c>
      <c r="C36" s="7" t="s">
        <v>217</v>
      </c>
      <c r="D36" s="8" t="s">
        <v>218</v>
      </c>
      <c r="E36" s="8" t="s">
        <v>219</v>
      </c>
      <c r="F36" s="8" t="s">
        <v>220</v>
      </c>
      <c r="G36" s="8" t="s">
        <v>221</v>
      </c>
      <c r="H36" s="8" t="s">
        <v>222</v>
      </c>
      <c r="I36" s="8" t="s">
        <v>24</v>
      </c>
      <c r="J36" s="8" t="s">
        <v>223</v>
      </c>
      <c r="K36" s="8" t="s">
        <v>221</v>
      </c>
      <c r="L36" s="8">
        <v>1</v>
      </c>
      <c r="M36" s="8">
        <f t="shared" si="4"/>
        <v>1</v>
      </c>
      <c r="N36" s="8">
        <v>5</v>
      </c>
      <c r="O36" s="23" t="s">
        <v>27</v>
      </c>
      <c r="P36" s="24">
        <v>0.2521</v>
      </c>
      <c r="Q36" s="24">
        <f t="shared" si="3"/>
        <v>1.2605</v>
      </c>
      <c r="R36" s="8"/>
      <c r="S36" s="31"/>
    </row>
    <row r="37" spans="1:19">
      <c r="A37" s="2"/>
      <c r="B37" s="9">
        <f t="shared" si="2"/>
        <v>35</v>
      </c>
      <c r="C37" s="10" t="s">
        <v>217</v>
      </c>
      <c r="D37" s="11" t="s">
        <v>224</v>
      </c>
      <c r="E37" s="11" t="s">
        <v>225</v>
      </c>
      <c r="F37" s="11" t="s">
        <v>226</v>
      </c>
      <c r="G37" s="11" t="s">
        <v>227</v>
      </c>
      <c r="H37" s="11" t="s">
        <v>228</v>
      </c>
      <c r="I37" s="8" t="s">
        <v>24</v>
      </c>
      <c r="J37" s="11" t="s">
        <v>229</v>
      </c>
      <c r="K37" s="11" t="s">
        <v>227</v>
      </c>
      <c r="L37" s="11">
        <v>1</v>
      </c>
      <c r="M37" s="8">
        <f t="shared" si="4"/>
        <v>1</v>
      </c>
      <c r="N37" s="11">
        <v>5</v>
      </c>
      <c r="O37" s="25" t="s">
        <v>27</v>
      </c>
      <c r="P37" s="26">
        <v>0.1502</v>
      </c>
      <c r="Q37" s="26">
        <f t="shared" si="3"/>
        <v>0.751</v>
      </c>
      <c r="R37" s="11"/>
      <c r="S37" s="11"/>
    </row>
    <row r="38" spans="1:19">
      <c r="A38" s="2"/>
      <c r="B38" s="6">
        <f t="shared" si="2"/>
        <v>36</v>
      </c>
      <c r="C38" s="7" t="s">
        <v>217</v>
      </c>
      <c r="D38" s="8" t="s">
        <v>230</v>
      </c>
      <c r="E38" s="8" t="s">
        <v>231</v>
      </c>
      <c r="F38" s="8" t="s">
        <v>232</v>
      </c>
      <c r="G38" s="8" t="s">
        <v>233</v>
      </c>
      <c r="H38" s="8" t="s">
        <v>234</v>
      </c>
      <c r="I38" s="8" t="s">
        <v>24</v>
      </c>
      <c r="J38" s="8" t="s">
        <v>235</v>
      </c>
      <c r="K38" s="8" t="s">
        <v>233</v>
      </c>
      <c r="L38" s="8">
        <v>1</v>
      </c>
      <c r="M38" s="8">
        <f t="shared" si="4"/>
        <v>1</v>
      </c>
      <c r="N38" s="8">
        <v>1</v>
      </c>
      <c r="O38" s="23" t="s">
        <v>27</v>
      </c>
      <c r="P38" s="24">
        <v>1.7087</v>
      </c>
      <c r="Q38" s="24">
        <f t="shared" si="3"/>
        <v>1.7087</v>
      </c>
      <c r="R38" s="8"/>
      <c r="S38" s="31"/>
    </row>
    <row r="39" spans="1:19">
      <c r="A39" s="2"/>
      <c r="B39" s="9">
        <f t="shared" si="2"/>
        <v>37</v>
      </c>
      <c r="C39" s="10"/>
      <c r="D39" s="11" t="s">
        <v>236</v>
      </c>
      <c r="E39" s="11" t="s">
        <v>237</v>
      </c>
      <c r="F39" s="11" t="s">
        <v>238</v>
      </c>
      <c r="G39" s="11" t="s">
        <v>239</v>
      </c>
      <c r="H39" s="11" t="s">
        <v>240</v>
      </c>
      <c r="I39" s="8" t="s">
        <v>24</v>
      </c>
      <c r="J39" s="11" t="s">
        <v>241</v>
      </c>
      <c r="K39" s="11" t="s">
        <v>239</v>
      </c>
      <c r="L39" s="11">
        <v>1</v>
      </c>
      <c r="M39" s="8">
        <f t="shared" si="4"/>
        <v>1</v>
      </c>
      <c r="N39" s="11">
        <v>1</v>
      </c>
      <c r="O39" s="25" t="s">
        <v>27</v>
      </c>
      <c r="P39" s="26">
        <v>0.5139</v>
      </c>
      <c r="Q39" s="26">
        <f t="shared" si="3"/>
        <v>0.5139</v>
      </c>
      <c r="R39" s="11"/>
      <c r="S39" s="11"/>
    </row>
    <row r="40" ht="24" spans="1:19">
      <c r="A40" s="2"/>
      <c r="B40" s="6">
        <f t="shared" si="2"/>
        <v>38</v>
      </c>
      <c r="C40" s="7" t="s">
        <v>217</v>
      </c>
      <c r="D40" s="8" t="s">
        <v>242</v>
      </c>
      <c r="E40" s="8" t="s">
        <v>243</v>
      </c>
      <c r="F40" s="8" t="s">
        <v>244</v>
      </c>
      <c r="G40" s="8" t="s">
        <v>245</v>
      </c>
      <c r="H40" s="8" t="s">
        <v>246</v>
      </c>
      <c r="I40" s="8" t="s">
        <v>24</v>
      </c>
      <c r="J40" s="8" t="s">
        <v>247</v>
      </c>
      <c r="K40" s="8" t="s">
        <v>245</v>
      </c>
      <c r="L40" s="8">
        <v>1</v>
      </c>
      <c r="M40" s="8">
        <f t="shared" si="4"/>
        <v>1</v>
      </c>
      <c r="N40" s="8">
        <v>1</v>
      </c>
      <c r="O40" s="23" t="s">
        <v>111</v>
      </c>
      <c r="P40" s="24">
        <v>10.55</v>
      </c>
      <c r="Q40" s="24">
        <f t="shared" si="3"/>
        <v>10.55</v>
      </c>
      <c r="R40" s="8"/>
      <c r="S40" s="31"/>
    </row>
    <row r="41" ht="24" spans="1:19">
      <c r="A41" s="2"/>
      <c r="B41" s="9">
        <f t="shared" si="2"/>
        <v>39</v>
      </c>
      <c r="C41" s="10" t="s">
        <v>248</v>
      </c>
      <c r="D41" s="11" t="s">
        <v>249</v>
      </c>
      <c r="E41" s="11" t="s">
        <v>250</v>
      </c>
      <c r="F41" s="11" t="s">
        <v>251</v>
      </c>
      <c r="G41" s="11" t="s">
        <v>252</v>
      </c>
      <c r="H41" s="11" t="s">
        <v>253</v>
      </c>
      <c r="I41" s="8" t="s">
        <v>24</v>
      </c>
      <c r="J41" s="11" t="s">
        <v>254</v>
      </c>
      <c r="K41" s="11" t="s">
        <v>255</v>
      </c>
      <c r="L41" s="11">
        <v>1</v>
      </c>
      <c r="M41" s="8">
        <f t="shared" si="4"/>
        <v>1</v>
      </c>
      <c r="N41" s="11">
        <v>5</v>
      </c>
      <c r="O41" s="25" t="s">
        <v>27</v>
      </c>
      <c r="P41" s="26">
        <v>0.18</v>
      </c>
      <c r="Q41" s="26">
        <f t="shared" si="3"/>
        <v>0.9</v>
      </c>
      <c r="R41" s="11"/>
      <c r="S41" s="11"/>
    </row>
    <row r="42" ht="24.75" spans="1:19">
      <c r="A42" s="2"/>
      <c r="B42" s="6">
        <f t="shared" si="2"/>
        <v>40</v>
      </c>
      <c r="C42" s="7" t="s">
        <v>248</v>
      </c>
      <c r="D42" s="8" t="s">
        <v>256</v>
      </c>
      <c r="E42" s="8" t="s">
        <v>257</v>
      </c>
      <c r="F42" s="8" t="s">
        <v>258</v>
      </c>
      <c r="G42" s="8" t="s">
        <v>259</v>
      </c>
      <c r="H42" s="8" t="s">
        <v>260</v>
      </c>
      <c r="I42" s="8" t="s">
        <v>24</v>
      </c>
      <c r="J42" s="8" t="s">
        <v>261</v>
      </c>
      <c r="K42" s="8" t="s">
        <v>262</v>
      </c>
      <c r="L42" s="8">
        <v>1</v>
      </c>
      <c r="M42" s="8">
        <f t="shared" si="4"/>
        <v>1</v>
      </c>
      <c r="N42" s="8">
        <v>1</v>
      </c>
      <c r="O42" s="23" t="s">
        <v>27</v>
      </c>
      <c r="P42" s="24">
        <v>0.3548</v>
      </c>
      <c r="Q42" s="24">
        <f t="shared" si="3"/>
        <v>0.3548</v>
      </c>
      <c r="R42" s="8"/>
      <c r="S42" s="31"/>
    </row>
    <row r="43" ht="19.5" spans="1:19">
      <c r="A43" s="2"/>
      <c r="B43" s="12"/>
      <c r="C43" s="13"/>
      <c r="D43" s="14"/>
      <c r="E43" s="15"/>
      <c r="F43" s="16"/>
      <c r="G43" s="17"/>
      <c r="H43" s="16"/>
      <c r="I43" s="17"/>
      <c r="J43" s="16"/>
      <c r="K43" s="17"/>
      <c r="L43" s="17"/>
      <c r="M43" s="17"/>
      <c r="N43" s="28" t="s">
        <v>263</v>
      </c>
      <c r="O43" s="29"/>
      <c r="P43" s="29"/>
      <c r="Q43" s="34">
        <f>SUM(Q3:Q42)</f>
        <v>29.0454</v>
      </c>
      <c r="R43" s="35"/>
      <c r="S43" s="36"/>
    </row>
    <row r="44" ht="19.5" spans="1:19">
      <c r="A44" s="2"/>
      <c r="B44" s="18"/>
      <c r="C44" s="19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8" t="s">
        <v>264</v>
      </c>
      <c r="O44" s="29"/>
      <c r="P44" s="29"/>
      <c r="Q44" s="37">
        <f>Q43/1</f>
        <v>29.0454</v>
      </c>
      <c r="R44" s="38"/>
      <c r="S44" s="39"/>
    </row>
  </sheetData>
  <mergeCells count="4">
    <mergeCell ref="K1:S1"/>
    <mergeCell ref="N43:P43"/>
    <mergeCell ref="N44:P44"/>
    <mergeCell ref="R43:S44"/>
  </mergeCells>
  <hyperlinks>
    <hyperlink ref="O3" r:id="rId1" display="LCSC"/>
    <hyperlink ref="O4" r:id="rId2" display="LCSC"/>
    <hyperlink ref="O5" r:id="rId3" display="LCSC"/>
    <hyperlink ref="O6" r:id="rId4" display="LCSC"/>
    <hyperlink ref="O7" r:id="rId5" display="LCSC"/>
    <hyperlink ref="O8" r:id="rId6" display="LCSC"/>
    <hyperlink ref="O9" r:id="rId7" display="LCSC"/>
    <hyperlink ref="O10" r:id="rId8" display="LCSC"/>
    <hyperlink ref="O11" r:id="rId9" display="LCSC"/>
    <hyperlink ref="O12" r:id="rId10" display="LCSC"/>
    <hyperlink ref="O13" r:id="rId11" display="LCSC"/>
    <hyperlink ref="O14" r:id="rId12" display="LCSC"/>
    <hyperlink ref="O15" r:id="rId13" display="LCSC"/>
    <hyperlink ref="O16" r:id="rId14" display="LCSC"/>
    <hyperlink ref="O18" r:id="rId15" display="LCSC"/>
    <hyperlink ref="O19" r:id="rId16" display="LCSC"/>
    <hyperlink ref="O20" r:id="rId17" display="LCSC"/>
    <hyperlink ref="O21" r:id="rId18" display="LCSC"/>
    <hyperlink ref="O22" r:id="rId19" display="LCSC"/>
    <hyperlink ref="O23" r:id="rId20" display="LCSC"/>
    <hyperlink ref="O24" r:id="rId21" display="LCSC"/>
    <hyperlink ref="O25" r:id="rId22" display="LCSC"/>
    <hyperlink ref="O26" r:id="rId23" display="LCSC"/>
    <hyperlink ref="O27" r:id="rId24" display="LCSC"/>
    <hyperlink ref="O28" r:id="rId25" display="LCSC"/>
    <hyperlink ref="O29" r:id="rId26" display="LCSC"/>
    <hyperlink ref="O30" r:id="rId27" display="LCSC"/>
    <hyperlink ref="O31" r:id="rId28" display="LCSC"/>
    <hyperlink ref="O32" r:id="rId29" display="LCSC"/>
    <hyperlink ref="O33" r:id="rId30" display="LCSC"/>
    <hyperlink ref="O34" r:id="rId31" display="LCSC"/>
    <hyperlink ref="O35" r:id="rId32" display="LCSC"/>
    <hyperlink ref="O36" r:id="rId33" display="LCSC"/>
    <hyperlink ref="O37" r:id="rId34" display="LCSC"/>
    <hyperlink ref="O38" r:id="rId35" display="LCSC"/>
    <hyperlink ref="O39" r:id="rId36" display="LCSC"/>
    <hyperlink ref="O41" r:id="rId37" display="LCSC"/>
    <hyperlink ref="O42" r:id="rId38" display="LCSC"/>
    <hyperlink ref="O40" r:id="rId39" display="Mouser"/>
    <hyperlink ref="O17" r:id="rId40" display="Mouser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2024-03-19T09:47:26Z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82528ACA485D4BE2849F11BF04A8055E_13</vt:lpwstr>
  </property>
  <property fmtid="{D5CDD505-2E9C-101B-9397-08002B2CF9AE}" pid="3" name="KSOProductBuildVer">
    <vt:lpwstr>1033-12.2.0.13489</vt:lpwstr>
  </property>
</Properties>
</file>