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XPENDER\Documents\GitHub\ajeetsing-hdmitofpcadaptor\Design_Files\Project Outputs for HDMI_To_FPCadaptor_v1.0\"/>
    </mc:Choice>
  </mc:AlternateContent>
  <bookViews>
    <workbookView xWindow="28680" yWindow="-120" windowWidth="29040" windowHeight="1584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B43" i="1" l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<sst xmlns="http://schemas.openxmlformats.org/spreadsheetml/2006/main" count="291" uniqueCount="220">
  <si>
    <t>#</t>
  </si>
  <si>
    <t>Item Type</t>
  </si>
  <si>
    <t>Capacitor</t>
  </si>
  <si>
    <t>Diode</t>
  </si>
  <si>
    <t>Fuse</t>
  </si>
  <si>
    <t>Ferrite Bead</t>
  </si>
  <si>
    <t>USB Connector</t>
  </si>
  <si>
    <t>Male</t>
  </si>
  <si>
    <t>Connector</t>
  </si>
  <si>
    <t>HDMI</t>
  </si>
  <si>
    <t>Inductor</t>
  </si>
  <si>
    <t>LED</t>
  </si>
  <si>
    <t>Resistor</t>
  </si>
  <si>
    <t>Switch</t>
  </si>
  <si>
    <t>IC</t>
  </si>
  <si>
    <t>Crystal</t>
  </si>
  <si>
    <t>Designator</t>
  </si>
  <si>
    <t>C1, C2, C4, C7, C9, C12, C16, C17, C29, C32, C35, C43</t>
  </si>
  <si>
    <t>C3, C6, C11</t>
  </si>
  <si>
    <t>C5, C8, C13, C14, C15, C21, C22, C23, C24, C27, C28, C31, C34, C37, C38, C39, C40, C42</t>
  </si>
  <si>
    <t>C10, C20</t>
  </si>
  <si>
    <t>C18</t>
  </si>
  <si>
    <t>C19</t>
  </si>
  <si>
    <t>C25, C26</t>
  </si>
  <si>
    <t>C30, C33, C36, C41</t>
  </si>
  <si>
    <t>D1</t>
  </si>
  <si>
    <t>D2, D3</t>
  </si>
  <si>
    <t>F1</t>
  </si>
  <si>
    <t>FB1</t>
  </si>
  <si>
    <t>FB2, FB3, FB4, FB5</t>
  </si>
  <si>
    <t>J1</t>
  </si>
  <si>
    <t>J2</t>
  </si>
  <si>
    <t>J3</t>
  </si>
  <si>
    <t>J4</t>
  </si>
  <si>
    <t>L1, L2, L3</t>
  </si>
  <si>
    <t>L4, L5</t>
  </si>
  <si>
    <t>LED1, LED2</t>
  </si>
  <si>
    <t>R1, R6, R24, R31, R32, R33</t>
  </si>
  <si>
    <t>R2</t>
  </si>
  <si>
    <t>R3</t>
  </si>
  <si>
    <t>R4, R8</t>
  </si>
  <si>
    <t>R5</t>
  </si>
  <si>
    <t>R7</t>
  </si>
  <si>
    <t>R9, R10</t>
  </si>
  <si>
    <t>R11</t>
  </si>
  <si>
    <t>R12, R13</t>
  </si>
  <si>
    <t>R14, R15, R16, R21, R22, R23, R25, R26, R34, R35</t>
  </si>
  <si>
    <t>R17, R18</t>
  </si>
  <si>
    <t>R27, R29, R30</t>
  </si>
  <si>
    <t>R28</t>
  </si>
  <si>
    <t>SW1</t>
  </si>
  <si>
    <t>U1</t>
  </si>
  <si>
    <t>U2</t>
  </si>
  <si>
    <t>U3</t>
  </si>
  <si>
    <t>U4</t>
  </si>
  <si>
    <t>U5</t>
  </si>
  <si>
    <t>X1</t>
  </si>
  <si>
    <t>X4</t>
  </si>
  <si>
    <t>Description</t>
  </si>
  <si>
    <t>10V 10uF X5R ±10% 0603 Multilayer Ceramic Capacitors MLCC - SMD/SMT ROHS</t>
  </si>
  <si>
    <t>16V 1uF X5R ±10% 0603 Multilayer Ceramic Capacitors MLCC - SMD/SMT ROHS</t>
  </si>
  <si>
    <t>25V 100nF X7R ±10% 0603 Multilayer Ceramic Capacitors MLCC - SMD/SMT ROHS</t>
  </si>
  <si>
    <t>16V 1uF X5R ±10% 0603 Multilayer Ceramic Capacitors MLCC - SMD/SMT ROHS, 1uF 25V X5R ±20% 0603 Multilayer Ceramic Capacitors MLCC - SMD/SMT ROHS</t>
  </si>
  <si>
    <t>25V 22nF X7R 0603 Multilayer Ceramic Capacitors MLCC - SMD/SMT ROHS</t>
  </si>
  <si>
    <t>CAP CER 4700PF 50V C0G/NPO 0603</t>
  </si>
  <si>
    <t>CAP CER 20PF 50V C0G/NPO 0603</t>
  </si>
  <si>
    <t>50V 10nF X7R ±10% 0603 Multilayer Ceramic Capacitors MLCC - SMD/SMT ROHS</t>
  </si>
  <si>
    <t>TVS DIODE 5VWM 6.3VC DSN0603-2</t>
  </si>
  <si>
    <t>DFN2510-10 Electrostatic and Surge Protection (TVS/ESD) ROHS</t>
  </si>
  <si>
    <t>PTC RESET FUSE 6V 3A 1206</t>
  </si>
  <si>
    <t>FERRITE BEAD 120 OHM 1206 1LN</t>
  </si>
  <si>
    <t>Ferrite Beads Multi-Layer 120Ohm 25% 100MHz 2A 50mOhm DCR 0603 Paper T/R</t>
  </si>
  <si>
    <t>250mA 1 16 Female Type-C SMD USB Connectors ROHS</t>
  </si>
  <si>
    <t>3A Brick nogging Square Pins 2.5mm 8P 6mm -55℃~+105℃ 2.54mm 双排 Black 2x4P 2.54mm SMD,P=2.54mm Pin Headers ROHS</t>
  </si>
  <si>
    <t>40 Position Straight Type Receptacle Signal Only Board to FPC Connector</t>
  </si>
  <si>
    <t>19P Female HDMI Surface Mount，Right Angle 1 500mA -45℃~+85℃ SMD D-Sub/DVI/HDMI Connectors ROHS</t>
  </si>
  <si>
    <t>Inductor Power Chip Shielded Multi-Layer 1.5uH 20% 1MHz Ferrite 1.5A 0.088Ohm DCR 1008 T/R</t>
  </si>
  <si>
    <t>50mA 10uH ±20% 1.17Ω 0603 Inductors (SMD) ROHS</t>
  </si>
  <si>
    <t>Green 520~535nm 0402 Light Emitting Diodes (LED) RoHS</t>
  </si>
  <si>
    <t>RES SMD 1K OHM 1% 1/10W 0603</t>
  </si>
  <si>
    <t>100mW Thick Film Resistors 75V ±100ppm/℃ ±1% 200kΩ 0603 Chip Resistor - Surface Mount ROHS</t>
  </si>
  <si>
    <t>100mW Thick Film Resistors 75V ±100ppm/℃ ±1% 68kΩ 0603 Chip Resistor - Surface Mount ROHS</t>
  </si>
  <si>
    <t>100mW Thick Film Resistors 75V ±100ppm/℃ ±1% 100kΩ 0603 Chip Resistor - Surface Mount ROHS</t>
  </si>
  <si>
    <t>100mW Thick Film Resistors 75V ±100ppm/℃ ±1% 15kΩ 0603 Chip Resistor - Surface Mount ROHS</t>
  </si>
  <si>
    <t>100mW Thick Film Resistors 75V ±100ppm/℃ ±1% 120kΩ 0603 Chip Resistor - Surface Mount ROHS</t>
  </si>
  <si>
    <t>RES 0 OHM JUMPER 1/10W 0603</t>
  </si>
  <si>
    <t>100mW Thick Film Resistors ±100ppm/℃ ±1% 1MΩ 0603 Chip Resistor - Surface Mount ROHS</t>
  </si>
  <si>
    <t>100mW Thick Film Resistors 75V ±100ppm/℃ ±1% 5.1kΩ 0603 Chip Resistor - Surface Mount ROHS</t>
  </si>
  <si>
    <t>RES SMD 10K Ohm 1% 1/10W 0603, 100mW Thick Film Resistors 75V ±100ppm/℃ ±1% 10kΩ 0603 Chip Resistor - Surface Mount ROHS</t>
  </si>
  <si>
    <t>100mW Thick Film Resistors 75V ±100ppm/℃ ±1% 22Ω 0603 Chip Resistor - Surface Mount ROHS</t>
  </si>
  <si>
    <t>RES 47K OHM 5% 1/10W 0603</t>
  </si>
  <si>
    <t>RES SMD 2K OHM 0.1% 1/10W 0603</t>
  </si>
  <si>
    <t>SWITCH TACTILE SPST-NO 0.05A 12V</t>
  </si>
  <si>
    <t>2.7V~5.5V 3 WQFN-20-EP(3x3) Battery Management ICs ROHS</t>
  </si>
  <si>
    <t>IC REG LDO 2.8V 0.3A SOT23-5</t>
  </si>
  <si>
    <t>IC MCU 32BIT 128KB FLASH 48LQFP</t>
  </si>
  <si>
    <t>IC TRANSLTR BIDIRECTIONAL 8VSSOP</t>
  </si>
  <si>
    <t>Ultra HD to Display Serial Interface Converter 80-Pin VFBGA</t>
  </si>
  <si>
    <t>8MHz 20pF ±10ppm ±50ppm SMD5032-2P Crystals ROHS</t>
  </si>
  <si>
    <t>3.3V 5mA ±25ppm 40MHz CMOS SMD3225-4P Oscillators ROHS</t>
  </si>
  <si>
    <t>Footprint</t>
  </si>
  <si>
    <t>Cap-0603</t>
  </si>
  <si>
    <t>DSN0603-2</t>
  </si>
  <si>
    <t>AZ1045-04F</t>
  </si>
  <si>
    <t>Fuse 1206 (3216 Metric)</t>
  </si>
  <si>
    <t>IND-1206</t>
  </si>
  <si>
    <t>IND-0603 (1608 Metric)</t>
  </si>
  <si>
    <t>TYPE-C-31-M-12_</t>
  </si>
  <si>
    <t>C192300</t>
  </si>
  <si>
    <t>BM23FR0.6-40DS-0.35V(895)</t>
  </si>
  <si>
    <t>HD-A-05H9191N</t>
  </si>
  <si>
    <t>IND-1008 (2520 Metric)</t>
  </si>
  <si>
    <t>LED-0402</t>
  </si>
  <si>
    <t>Res-0603</t>
  </si>
  <si>
    <t>RES-0603</t>
  </si>
  <si>
    <t>B3U-1000P</t>
  </si>
  <si>
    <t>20-QFN(3x3)</t>
  </si>
  <si>
    <t>SOT-23-5</t>
  </si>
  <si>
    <t>48-LQFP (7x7)_</t>
  </si>
  <si>
    <t>VSSOP-8(3.1x2.1)</t>
  </si>
  <si>
    <t>TC358870XBG</t>
  </si>
  <si>
    <t>SMD5032-2P</t>
  </si>
  <si>
    <t>SMD3225-4P</t>
  </si>
  <si>
    <t>Manufacturer Part Number</t>
  </si>
  <si>
    <t>CGA0603X5R106K100JT</t>
  </si>
  <si>
    <t>CS1608X7R221K500NRB</t>
  </si>
  <si>
    <t>CL10B104KA8NNNC</t>
  </si>
  <si>
    <t>CL10A105KO8NNNC, TCC0603X5R105M250CT</t>
  </si>
  <si>
    <t>CC0603JRNPO9BN472</t>
  </si>
  <si>
    <t>CC0603JRNPO9BN200</t>
  </si>
  <si>
    <t>FN18X103K500PSG</t>
  </si>
  <si>
    <t>PESD5V0H1BSFYL</t>
  </si>
  <si>
    <t>1206L300SLTHYR</t>
  </si>
  <si>
    <t>BLM31PG121SN1L</t>
  </si>
  <si>
    <t>BLM18PG121SN1D</t>
  </si>
  <si>
    <t>TYPE-C-31-M-12</t>
  </si>
  <si>
    <t>LQM2HPN1R5MG0L</t>
  </si>
  <si>
    <t>MCL1608S100MT</t>
  </si>
  <si>
    <t>16-213/GHC-YR1S1/3T</t>
  </si>
  <si>
    <t>CRCW06031K00FKEA, RC0603FR-071KL</t>
  </si>
  <si>
    <t>0603WAF2003T5E</t>
  </si>
  <si>
    <t>0603WAF6802T5E</t>
  </si>
  <si>
    <t>0603WAF1003T5E</t>
  </si>
  <si>
    <t>FRC0603F1502TS</t>
  </si>
  <si>
    <t>0603WAF1203T5E</t>
  </si>
  <si>
    <t>RC0603JR-070RL</t>
  </si>
  <si>
    <t>0603WAF5101T5E</t>
  </si>
  <si>
    <t>RC0603FR-0710KL, 0603WAF1002T5E</t>
  </si>
  <si>
    <t>0603WAF220JT5E</t>
  </si>
  <si>
    <t>RC0603JR-0747KL</t>
  </si>
  <si>
    <t>RT0603BRE072KL</t>
  </si>
  <si>
    <t>EA3036CQBR</t>
  </si>
  <si>
    <t>RT9193-28GB</t>
  </si>
  <si>
    <t>STM32F103CBT6</t>
  </si>
  <si>
    <t>TXB0102DCUR</t>
  </si>
  <si>
    <t>TC358870XBG(NOK)</t>
  </si>
  <si>
    <t>X50328MSB2GI</t>
  </si>
  <si>
    <t>O3240000153350</t>
  </si>
  <si>
    <t>Manufacturer</t>
  </si>
  <si>
    <t>HRE</t>
  </si>
  <si>
    <t>Samwha Capacitors</t>
  </si>
  <si>
    <t>Samsung Electro-Mechanics</t>
  </si>
  <si>
    <t>Samsung Electro-Mechanics, CCTC</t>
  </si>
  <si>
    <t>Yageo</t>
  </si>
  <si>
    <t>PSA</t>
  </si>
  <si>
    <t>Nexperia</t>
  </si>
  <si>
    <t>TECH PUBLIC</t>
  </si>
  <si>
    <t>Littelfuse</t>
  </si>
  <si>
    <t>Murata</t>
  </si>
  <si>
    <t>Murata Electronics</t>
  </si>
  <si>
    <t>Korean Hroparts Elec</t>
  </si>
  <si>
    <t>BOOMELE(BOOM Precision Elec)</t>
  </si>
  <si>
    <t>Hirose</t>
  </si>
  <si>
    <t>HanElectricity</t>
  </si>
  <si>
    <t>SUNLORD</t>
  </si>
  <si>
    <t>Everlight Elec</t>
  </si>
  <si>
    <t>Vishay Dale, Yageo</t>
  </si>
  <si>
    <t>UNI-ROYAL(Uniroyal Elec)</t>
  </si>
  <si>
    <t>UNI-ROYAL</t>
  </si>
  <si>
    <t>FOJAN</t>
  </si>
  <si>
    <t>Yageo, UNI-ROYAL(Uniroyal Elec)</t>
  </si>
  <si>
    <t>Omron</t>
  </si>
  <si>
    <t>Everanalog IC Design</t>
  </si>
  <si>
    <t>Richtek</t>
  </si>
  <si>
    <t>STMicroelectronics</t>
  </si>
  <si>
    <t>Texas Instruments</t>
  </si>
  <si>
    <t>Toshiba</t>
  </si>
  <si>
    <t>Yangxing Tech</t>
  </si>
  <si>
    <t>JGHC</t>
  </si>
  <si>
    <t>10uF</t>
  </si>
  <si>
    <t>220pF</t>
  </si>
  <si>
    <t>100nF</t>
  </si>
  <si>
    <t>1uF</t>
  </si>
  <si>
    <t>22nF</t>
  </si>
  <si>
    <t>4.7nF</t>
  </si>
  <si>
    <t>20pF</t>
  </si>
  <si>
    <t>10nF</t>
  </si>
  <si>
    <t>100MHz</t>
  </si>
  <si>
    <t>120R</t>
  </si>
  <si>
    <t>1.5uH</t>
  </si>
  <si>
    <t>10uH</t>
  </si>
  <si>
    <t>Green</t>
  </si>
  <si>
    <t>1K</t>
  </si>
  <si>
    <t>200K</t>
  </si>
  <si>
    <t>68K</t>
  </si>
  <si>
    <t>100K</t>
  </si>
  <si>
    <t>15K</t>
  </si>
  <si>
    <t>120K</t>
  </si>
  <si>
    <t>0R</t>
  </si>
  <si>
    <t>1M</t>
  </si>
  <si>
    <t>5.1k</t>
  </si>
  <si>
    <t>10K</t>
  </si>
  <si>
    <t>22R</t>
  </si>
  <si>
    <t>47K</t>
  </si>
  <si>
    <t>2K</t>
  </si>
  <si>
    <t>8MHz</t>
  </si>
  <si>
    <t>40MHz</t>
  </si>
  <si>
    <t>Quantity</t>
  </si>
  <si>
    <t>Value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</si>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</sst>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43"/>
  <sheetViews>
    <sheetView tabSelected="1" topLeftCell="E1" workbookViewId="0">
      <selection activeCell="K3" sqref="K3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16</v>
      </c>
      <c r="E2" s="6" t="s">
        <v>58</v>
      </c>
      <c r="F2" s="5" t="s">
        <v>100</v>
      </c>
      <c r="G2" s="6" t="s">
        <v>123</v>
      </c>
      <c r="H2" s="5" t="s">
        <v>158</v>
      </c>
      <c r="I2" s="6" t="s">
        <v>218</v>
      </c>
      <c r="J2" s="5" t="s">
        <v>217</v>
      </c>
      <c r="K2" s="5" t="s">
        <v>219</v>
      </c>
    </row>
    <row r="3" spans="1:11" ht="36.75" thickBot="1" x14ac:dyDescent="0.3">
      <c r="A3" s="1"/>
      <c r="B3" s="11">
        <f>ROW(B3) - ROW($B$2)</f>
        <v>1</v>
      </c>
      <c r="C3" s="12" t="s">
        <v>2</v>
      </c>
      <c r="D3" s="7" t="s">
        <v>17</v>
      </c>
      <c r="E3" s="8" t="s">
        <v>59</v>
      </c>
      <c r="F3" s="7" t="s">
        <v>101</v>
      </c>
      <c r="G3" s="8" t="s">
        <v>124</v>
      </c>
      <c r="H3" s="7" t="s">
        <v>159</v>
      </c>
      <c r="I3" s="8" t="s">
        <v>189</v>
      </c>
      <c r="J3" s="7">
        <v>12</v>
      </c>
      <c r="K3" s="7"/>
    </row>
    <row r="4" spans="1:11" ht="36.75" thickBot="1" x14ac:dyDescent="0.3">
      <c r="A4" s="1"/>
      <c r="B4" s="11">
        <f t="shared" ref="B4:B42" si="0">ROW(B4) - ROW($B$2)</f>
        <v>2</v>
      </c>
      <c r="C4" s="13" t="s">
        <v>2</v>
      </c>
      <c r="D4" s="9" t="s">
        <v>18</v>
      </c>
      <c r="E4" s="10" t="s">
        <v>60</v>
      </c>
      <c r="F4" s="9" t="s">
        <v>101</v>
      </c>
      <c r="G4" s="10" t="s">
        <v>125</v>
      </c>
      <c r="H4" s="9" t="s">
        <v>160</v>
      </c>
      <c r="I4" s="10" t="s">
        <v>190</v>
      </c>
      <c r="J4" s="9">
        <v>3</v>
      </c>
      <c r="K4" s="9"/>
    </row>
    <row r="5" spans="1:11" ht="36.75" thickBot="1" x14ac:dyDescent="0.3">
      <c r="A5" s="1"/>
      <c r="B5" s="11">
        <f>ROW(B5) - ROW($B$2)</f>
        <v>3</v>
      </c>
      <c r="C5" s="12" t="s">
        <v>2</v>
      </c>
      <c r="D5" s="7" t="s">
        <v>19</v>
      </c>
      <c r="E5" s="8" t="s">
        <v>61</v>
      </c>
      <c r="F5" s="7" t="s">
        <v>101</v>
      </c>
      <c r="G5" s="8" t="s">
        <v>126</v>
      </c>
      <c r="H5" s="7" t="s">
        <v>161</v>
      </c>
      <c r="I5" s="8" t="s">
        <v>191</v>
      </c>
      <c r="J5" s="7">
        <v>18</v>
      </c>
      <c r="K5" s="7"/>
    </row>
    <row r="6" spans="1:11" ht="60.75" thickBot="1" x14ac:dyDescent="0.3">
      <c r="A6" s="1"/>
      <c r="B6" s="11">
        <f t="shared" si="0"/>
        <v>4</v>
      </c>
      <c r="C6" s="13" t="s">
        <v>2</v>
      </c>
      <c r="D6" s="9" t="s">
        <v>20</v>
      </c>
      <c r="E6" s="10" t="s">
        <v>62</v>
      </c>
      <c r="F6" s="9" t="s">
        <v>101</v>
      </c>
      <c r="G6" s="10" t="s">
        <v>127</v>
      </c>
      <c r="H6" s="9" t="s">
        <v>162</v>
      </c>
      <c r="I6" s="10" t="s">
        <v>192</v>
      </c>
      <c r="J6" s="9">
        <v>2</v>
      </c>
      <c r="K6" s="9"/>
    </row>
    <row r="7" spans="1:11" ht="36.75" thickBot="1" x14ac:dyDescent="0.3">
      <c r="A7" s="1"/>
      <c r="B7" s="11">
        <f>ROW(B7) - ROW($B$2)</f>
        <v>5</v>
      </c>
      <c r="C7" s="12" t="s">
        <v>2</v>
      </c>
      <c r="D7" s="7" t="s">
        <v>21</v>
      </c>
      <c r="E7" s="8" t="s">
        <v>63</v>
      </c>
      <c r="F7" s="7" t="s">
        <v>101</v>
      </c>
      <c r="G7" s="8"/>
      <c r="H7" s="7"/>
      <c r="I7" s="8" t="s">
        <v>193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22</v>
      </c>
      <c r="E8" s="10" t="s">
        <v>64</v>
      </c>
      <c r="F8" s="9" t="s">
        <v>101</v>
      </c>
      <c r="G8" s="10" t="s">
        <v>128</v>
      </c>
      <c r="H8" s="9" t="s">
        <v>163</v>
      </c>
      <c r="I8" s="10" t="s">
        <v>194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23</v>
      </c>
      <c r="E9" s="8" t="s">
        <v>65</v>
      </c>
      <c r="F9" s="7" t="s">
        <v>101</v>
      </c>
      <c r="G9" s="8" t="s">
        <v>129</v>
      </c>
      <c r="H9" s="7" t="s">
        <v>163</v>
      </c>
      <c r="I9" s="8" t="s">
        <v>195</v>
      </c>
      <c r="J9" s="7">
        <v>2</v>
      </c>
      <c r="K9" s="7"/>
    </row>
    <row r="10" spans="1:11" ht="36.75" thickBot="1" x14ac:dyDescent="0.3">
      <c r="A10" s="1"/>
      <c r="B10" s="11">
        <f t="shared" si="0"/>
        <v>8</v>
      </c>
      <c r="C10" s="13" t="s">
        <v>2</v>
      </c>
      <c r="D10" s="9" t="s">
        <v>24</v>
      </c>
      <c r="E10" s="10" t="s">
        <v>66</v>
      </c>
      <c r="F10" s="9" t="s">
        <v>101</v>
      </c>
      <c r="G10" s="10" t="s">
        <v>130</v>
      </c>
      <c r="H10" s="9" t="s">
        <v>164</v>
      </c>
      <c r="I10" s="10" t="s">
        <v>196</v>
      </c>
      <c r="J10" s="9">
        <v>4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3</v>
      </c>
      <c r="D11" s="7" t="s">
        <v>25</v>
      </c>
      <c r="E11" s="8" t="s">
        <v>67</v>
      </c>
      <c r="F11" s="7" t="s">
        <v>102</v>
      </c>
      <c r="G11" s="8" t="s">
        <v>131</v>
      </c>
      <c r="H11" s="7" t="s">
        <v>165</v>
      </c>
      <c r="I11" s="8" t="s">
        <v>131</v>
      </c>
      <c r="J11" s="7">
        <v>1</v>
      </c>
      <c r="K11" s="7"/>
    </row>
    <row r="12" spans="1:11" ht="24.75" thickBot="1" x14ac:dyDescent="0.3">
      <c r="A12" s="1"/>
      <c r="B12" s="11">
        <f t="shared" si="0"/>
        <v>10</v>
      </c>
      <c r="C12" s="13" t="s">
        <v>3</v>
      </c>
      <c r="D12" s="9" t="s">
        <v>26</v>
      </c>
      <c r="E12" s="10" t="s">
        <v>68</v>
      </c>
      <c r="F12" s="9" t="s">
        <v>103</v>
      </c>
      <c r="G12" s="10" t="s">
        <v>103</v>
      </c>
      <c r="H12" s="9" t="s">
        <v>166</v>
      </c>
      <c r="I12" s="10" t="s">
        <v>103</v>
      </c>
      <c r="J12" s="9">
        <v>2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4</v>
      </c>
      <c r="D13" s="7" t="s">
        <v>27</v>
      </c>
      <c r="E13" s="8" t="s">
        <v>69</v>
      </c>
      <c r="F13" s="7" t="s">
        <v>104</v>
      </c>
      <c r="G13" s="8" t="s">
        <v>132</v>
      </c>
      <c r="H13" s="7" t="s">
        <v>167</v>
      </c>
      <c r="I13" s="8" t="s">
        <v>132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5</v>
      </c>
      <c r="D14" s="9" t="s">
        <v>28</v>
      </c>
      <c r="E14" s="10" t="s">
        <v>70</v>
      </c>
      <c r="F14" s="9" t="s">
        <v>105</v>
      </c>
      <c r="G14" s="10" t="s">
        <v>133</v>
      </c>
      <c r="H14" s="9" t="s">
        <v>168</v>
      </c>
      <c r="I14" s="10" t="s">
        <v>197</v>
      </c>
      <c r="J14" s="9">
        <v>1</v>
      </c>
      <c r="K14" s="9"/>
    </row>
    <row r="15" spans="1:11" ht="36.75" thickBot="1" x14ac:dyDescent="0.3">
      <c r="A15" s="1"/>
      <c r="B15" s="11">
        <f>ROW(B15) - ROW($B$2)</f>
        <v>13</v>
      </c>
      <c r="C15" s="12" t="s">
        <v>5</v>
      </c>
      <c r="D15" s="7" t="s">
        <v>29</v>
      </c>
      <c r="E15" s="8" t="s">
        <v>71</v>
      </c>
      <c r="F15" s="7" t="s">
        <v>106</v>
      </c>
      <c r="G15" s="8" t="s">
        <v>134</v>
      </c>
      <c r="H15" s="7" t="s">
        <v>169</v>
      </c>
      <c r="I15" s="8" t="s">
        <v>198</v>
      </c>
      <c r="J15" s="7">
        <v>4</v>
      </c>
      <c r="K15" s="7"/>
    </row>
    <row r="16" spans="1:11" ht="24.75" thickBot="1" x14ac:dyDescent="0.3">
      <c r="A16" s="1"/>
      <c r="B16" s="11">
        <f t="shared" si="0"/>
        <v>14</v>
      </c>
      <c r="C16" s="13" t="s">
        <v>6</v>
      </c>
      <c r="D16" s="9" t="s">
        <v>30</v>
      </c>
      <c r="E16" s="10" t="s">
        <v>72</v>
      </c>
      <c r="F16" s="9" t="s">
        <v>107</v>
      </c>
      <c r="G16" s="10" t="s">
        <v>135</v>
      </c>
      <c r="H16" s="9" t="s">
        <v>170</v>
      </c>
      <c r="I16" s="10" t="s">
        <v>135</v>
      </c>
      <c r="J16" s="9">
        <v>1</v>
      </c>
      <c r="K16" s="9"/>
    </row>
    <row r="17" spans="1:11" ht="48.75" thickBot="1" x14ac:dyDescent="0.3">
      <c r="A17" s="1"/>
      <c r="B17" s="11">
        <f>ROW(B17) - ROW($B$2)</f>
        <v>15</v>
      </c>
      <c r="C17" s="12" t="s">
        <v>7</v>
      </c>
      <c r="D17" s="7" t="s">
        <v>31</v>
      </c>
      <c r="E17" s="8" t="s">
        <v>73</v>
      </c>
      <c r="F17" s="7" t="s">
        <v>108</v>
      </c>
      <c r="G17" s="8" t="s">
        <v>108</v>
      </c>
      <c r="H17" s="7" t="s">
        <v>171</v>
      </c>
      <c r="I17" s="8" t="s">
        <v>108</v>
      </c>
      <c r="J17" s="7">
        <v>1</v>
      </c>
      <c r="K17" s="7"/>
    </row>
    <row r="18" spans="1:11" ht="24.75" thickBot="1" x14ac:dyDescent="0.3">
      <c r="A18" s="1"/>
      <c r="B18" s="11">
        <f t="shared" si="0"/>
        <v>16</v>
      </c>
      <c r="C18" s="13" t="s">
        <v>8</v>
      </c>
      <c r="D18" s="9" t="s">
        <v>32</v>
      </c>
      <c r="E18" s="10" t="s">
        <v>74</v>
      </c>
      <c r="F18" s="9" t="s">
        <v>109</v>
      </c>
      <c r="G18" s="10" t="s">
        <v>109</v>
      </c>
      <c r="H18" s="9" t="s">
        <v>172</v>
      </c>
      <c r="I18" s="10" t="s">
        <v>109</v>
      </c>
      <c r="J18" s="9">
        <v>1</v>
      </c>
      <c r="K18" s="9"/>
    </row>
    <row r="19" spans="1:11" ht="48.75" thickBot="1" x14ac:dyDescent="0.3">
      <c r="A19" s="1"/>
      <c r="B19" s="11">
        <f>ROW(B19) - ROW($B$2)</f>
        <v>17</v>
      </c>
      <c r="C19" s="12" t="s">
        <v>9</v>
      </c>
      <c r="D19" s="7" t="s">
        <v>33</v>
      </c>
      <c r="E19" s="8" t="s">
        <v>75</v>
      </c>
      <c r="F19" s="7" t="s">
        <v>110</v>
      </c>
      <c r="G19" s="8" t="s">
        <v>110</v>
      </c>
      <c r="H19" s="7" t="s">
        <v>173</v>
      </c>
      <c r="I19" s="8" t="s">
        <v>110</v>
      </c>
      <c r="J19" s="7">
        <v>1</v>
      </c>
      <c r="K19" s="7"/>
    </row>
    <row r="20" spans="1:11" ht="36.75" thickBot="1" x14ac:dyDescent="0.3">
      <c r="A20" s="1"/>
      <c r="B20" s="11">
        <f t="shared" si="0"/>
        <v>18</v>
      </c>
      <c r="C20" s="13" t="s">
        <v>10</v>
      </c>
      <c r="D20" s="9" t="s">
        <v>34</v>
      </c>
      <c r="E20" s="10" t="s">
        <v>76</v>
      </c>
      <c r="F20" s="9" t="s">
        <v>111</v>
      </c>
      <c r="G20" s="10" t="s">
        <v>136</v>
      </c>
      <c r="H20" s="9" t="s">
        <v>169</v>
      </c>
      <c r="I20" s="10" t="s">
        <v>199</v>
      </c>
      <c r="J20" s="9">
        <v>3</v>
      </c>
      <c r="K20" s="9"/>
    </row>
    <row r="21" spans="1:11" ht="24.75" thickBot="1" x14ac:dyDescent="0.3">
      <c r="A21" s="1"/>
      <c r="B21" s="11">
        <f>ROW(B21) - ROW($B$2)</f>
        <v>19</v>
      </c>
      <c r="C21" s="12"/>
      <c r="D21" s="7" t="s">
        <v>35</v>
      </c>
      <c r="E21" s="8" t="s">
        <v>77</v>
      </c>
      <c r="F21" s="7" t="s">
        <v>106</v>
      </c>
      <c r="G21" s="8" t="s">
        <v>137</v>
      </c>
      <c r="H21" s="7" t="s">
        <v>174</v>
      </c>
      <c r="I21" s="8" t="s">
        <v>200</v>
      </c>
      <c r="J21" s="7">
        <v>2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11</v>
      </c>
      <c r="D22" s="9" t="s">
        <v>36</v>
      </c>
      <c r="E22" s="10" t="s">
        <v>78</v>
      </c>
      <c r="F22" s="9" t="s">
        <v>112</v>
      </c>
      <c r="G22" s="10" t="s">
        <v>138</v>
      </c>
      <c r="H22" s="9" t="s">
        <v>175</v>
      </c>
      <c r="I22" s="10" t="s">
        <v>201</v>
      </c>
      <c r="J22" s="9">
        <v>2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12</v>
      </c>
      <c r="D23" s="7" t="s">
        <v>37</v>
      </c>
      <c r="E23" s="8" t="s">
        <v>79</v>
      </c>
      <c r="F23" s="7" t="s">
        <v>113</v>
      </c>
      <c r="G23" s="8" t="s">
        <v>139</v>
      </c>
      <c r="H23" s="7" t="s">
        <v>176</v>
      </c>
      <c r="I23" s="8" t="s">
        <v>202</v>
      </c>
      <c r="J23" s="7">
        <v>6</v>
      </c>
      <c r="K23" s="7"/>
    </row>
    <row r="24" spans="1:11" ht="36.75" thickBot="1" x14ac:dyDescent="0.3">
      <c r="A24" s="1"/>
      <c r="B24" s="11">
        <f t="shared" si="0"/>
        <v>22</v>
      </c>
      <c r="C24" s="13" t="s">
        <v>12</v>
      </c>
      <c r="D24" s="9" t="s">
        <v>38</v>
      </c>
      <c r="E24" s="10" t="s">
        <v>80</v>
      </c>
      <c r="F24" s="9" t="s">
        <v>113</v>
      </c>
      <c r="G24" s="10" t="s">
        <v>140</v>
      </c>
      <c r="H24" s="9" t="s">
        <v>177</v>
      </c>
      <c r="I24" s="10" t="s">
        <v>203</v>
      </c>
      <c r="J24" s="9">
        <v>1</v>
      </c>
      <c r="K24" s="9"/>
    </row>
    <row r="25" spans="1:11" ht="36.75" thickBot="1" x14ac:dyDescent="0.3">
      <c r="A25" s="1"/>
      <c r="B25" s="11">
        <f>ROW(B25) - ROW($B$2)</f>
        <v>23</v>
      </c>
      <c r="C25" s="12" t="s">
        <v>12</v>
      </c>
      <c r="D25" s="7" t="s">
        <v>39</v>
      </c>
      <c r="E25" s="8" t="s">
        <v>81</v>
      </c>
      <c r="F25" s="7" t="s">
        <v>114</v>
      </c>
      <c r="G25" s="8" t="s">
        <v>141</v>
      </c>
      <c r="H25" s="7" t="s">
        <v>177</v>
      </c>
      <c r="I25" s="8" t="s">
        <v>204</v>
      </c>
      <c r="J25" s="7">
        <v>1</v>
      </c>
      <c r="K25" s="7"/>
    </row>
    <row r="26" spans="1:11" ht="36.75" thickBot="1" x14ac:dyDescent="0.3">
      <c r="A26" s="1"/>
      <c r="B26" s="11">
        <f t="shared" si="0"/>
        <v>24</v>
      </c>
      <c r="C26" s="13" t="s">
        <v>12</v>
      </c>
      <c r="D26" s="9" t="s">
        <v>40</v>
      </c>
      <c r="E26" s="10" t="s">
        <v>82</v>
      </c>
      <c r="F26" s="9" t="s">
        <v>113</v>
      </c>
      <c r="G26" s="10" t="s">
        <v>142</v>
      </c>
      <c r="H26" s="9" t="s">
        <v>178</v>
      </c>
      <c r="I26" s="10" t="s">
        <v>205</v>
      </c>
      <c r="J26" s="9">
        <v>2</v>
      </c>
      <c r="K26" s="9"/>
    </row>
    <row r="27" spans="1:11" ht="36.75" thickBot="1" x14ac:dyDescent="0.3">
      <c r="A27" s="1"/>
      <c r="B27" s="11">
        <f>ROW(B27) - ROW($B$2)</f>
        <v>25</v>
      </c>
      <c r="C27" s="12" t="s">
        <v>12</v>
      </c>
      <c r="D27" s="7" t="s">
        <v>41</v>
      </c>
      <c r="E27" s="8" t="s">
        <v>83</v>
      </c>
      <c r="F27" s="7" t="s">
        <v>114</v>
      </c>
      <c r="G27" s="8" t="s">
        <v>143</v>
      </c>
      <c r="H27" s="7" t="s">
        <v>179</v>
      </c>
      <c r="I27" s="8" t="s">
        <v>206</v>
      </c>
      <c r="J27" s="7">
        <v>1</v>
      </c>
      <c r="K27" s="7"/>
    </row>
    <row r="28" spans="1:11" ht="36.75" thickBot="1" x14ac:dyDescent="0.3">
      <c r="A28" s="1"/>
      <c r="B28" s="11">
        <f t="shared" si="0"/>
        <v>26</v>
      </c>
      <c r="C28" s="13" t="s">
        <v>12</v>
      </c>
      <c r="D28" s="9" t="s">
        <v>42</v>
      </c>
      <c r="E28" s="10" t="s">
        <v>84</v>
      </c>
      <c r="F28" s="9" t="s">
        <v>114</v>
      </c>
      <c r="G28" s="10" t="s">
        <v>144</v>
      </c>
      <c r="H28" s="9" t="s">
        <v>177</v>
      </c>
      <c r="I28" s="10" t="s">
        <v>207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12</v>
      </c>
      <c r="D29" s="7" t="s">
        <v>43</v>
      </c>
      <c r="E29" s="8" t="s">
        <v>85</v>
      </c>
      <c r="F29" s="7" t="s">
        <v>113</v>
      </c>
      <c r="G29" s="8" t="s">
        <v>145</v>
      </c>
      <c r="H29" s="7" t="s">
        <v>163</v>
      </c>
      <c r="I29" s="8" t="s">
        <v>208</v>
      </c>
      <c r="J29" s="7">
        <v>2</v>
      </c>
      <c r="K29" s="7"/>
    </row>
    <row r="30" spans="1:11" ht="36.75" thickBot="1" x14ac:dyDescent="0.3">
      <c r="A30" s="1"/>
      <c r="B30" s="11">
        <f t="shared" si="0"/>
        <v>28</v>
      </c>
      <c r="C30" s="13" t="s">
        <v>12</v>
      </c>
      <c r="D30" s="9" t="s">
        <v>44</v>
      </c>
      <c r="E30" s="10" t="s">
        <v>86</v>
      </c>
      <c r="F30" s="9" t="s">
        <v>113</v>
      </c>
      <c r="G30" s="10"/>
      <c r="H30" s="9" t="s">
        <v>177</v>
      </c>
      <c r="I30" s="10" t="s">
        <v>209</v>
      </c>
      <c r="J30" s="9">
        <v>1</v>
      </c>
      <c r="K30" s="9"/>
    </row>
    <row r="31" spans="1:11" ht="36.75" thickBot="1" x14ac:dyDescent="0.3">
      <c r="A31" s="1"/>
      <c r="B31" s="11">
        <f>ROW(B31) - ROW($B$2)</f>
        <v>29</v>
      </c>
      <c r="C31" s="12" t="s">
        <v>12</v>
      </c>
      <c r="D31" s="7" t="s">
        <v>45</v>
      </c>
      <c r="E31" s="8" t="s">
        <v>87</v>
      </c>
      <c r="F31" s="7" t="s">
        <v>113</v>
      </c>
      <c r="G31" s="8" t="s">
        <v>146</v>
      </c>
      <c r="H31" s="7" t="s">
        <v>178</v>
      </c>
      <c r="I31" s="8" t="s">
        <v>210</v>
      </c>
      <c r="J31" s="7">
        <v>2</v>
      </c>
      <c r="K31" s="7"/>
    </row>
    <row r="32" spans="1:11" ht="48.75" thickBot="1" x14ac:dyDescent="0.3">
      <c r="A32" s="1"/>
      <c r="B32" s="11">
        <f t="shared" si="0"/>
        <v>30</v>
      </c>
      <c r="C32" s="13" t="s">
        <v>12</v>
      </c>
      <c r="D32" s="9" t="s">
        <v>46</v>
      </c>
      <c r="E32" s="10" t="s">
        <v>88</v>
      </c>
      <c r="F32" s="9" t="s">
        <v>113</v>
      </c>
      <c r="G32" s="10" t="s">
        <v>147</v>
      </c>
      <c r="H32" s="9" t="s">
        <v>180</v>
      </c>
      <c r="I32" s="10" t="s">
        <v>211</v>
      </c>
      <c r="J32" s="9">
        <v>10</v>
      </c>
      <c r="K32" s="9"/>
    </row>
    <row r="33" spans="1:11" ht="36.75" thickBot="1" x14ac:dyDescent="0.3">
      <c r="A33" s="1"/>
      <c r="B33" s="11">
        <f>ROW(B33) - ROW($B$2)</f>
        <v>31</v>
      </c>
      <c r="C33" s="12" t="s">
        <v>12</v>
      </c>
      <c r="D33" s="7" t="s">
        <v>47</v>
      </c>
      <c r="E33" s="8" t="s">
        <v>89</v>
      </c>
      <c r="F33" s="7" t="s">
        <v>113</v>
      </c>
      <c r="G33" s="8" t="s">
        <v>148</v>
      </c>
      <c r="H33" s="7" t="s">
        <v>177</v>
      </c>
      <c r="I33" s="8" t="s">
        <v>212</v>
      </c>
      <c r="J33" s="7">
        <v>2</v>
      </c>
      <c r="K33" s="7"/>
    </row>
    <row r="34" spans="1:11" ht="15.75" thickBot="1" x14ac:dyDescent="0.3">
      <c r="A34" s="1"/>
      <c r="B34" s="11">
        <f t="shared" si="0"/>
        <v>32</v>
      </c>
      <c r="C34" s="13"/>
      <c r="D34" s="9" t="s">
        <v>48</v>
      </c>
      <c r="E34" s="10" t="s">
        <v>90</v>
      </c>
      <c r="F34" s="9" t="s">
        <v>113</v>
      </c>
      <c r="G34" s="10" t="s">
        <v>149</v>
      </c>
      <c r="H34" s="9" t="s">
        <v>163</v>
      </c>
      <c r="I34" s="10" t="s">
        <v>213</v>
      </c>
      <c r="J34" s="9">
        <v>3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12</v>
      </c>
      <c r="D35" s="7" t="s">
        <v>49</v>
      </c>
      <c r="E35" s="8" t="s">
        <v>91</v>
      </c>
      <c r="F35" s="7" t="s">
        <v>113</v>
      </c>
      <c r="G35" s="8" t="s">
        <v>150</v>
      </c>
      <c r="H35" s="7" t="s">
        <v>163</v>
      </c>
      <c r="I35" s="8" t="s">
        <v>214</v>
      </c>
      <c r="J35" s="7">
        <v>1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13</v>
      </c>
      <c r="D36" s="9" t="s">
        <v>50</v>
      </c>
      <c r="E36" s="10" t="s">
        <v>92</v>
      </c>
      <c r="F36" s="9" t="s">
        <v>115</v>
      </c>
      <c r="G36" s="10" t="s">
        <v>115</v>
      </c>
      <c r="H36" s="9" t="s">
        <v>181</v>
      </c>
      <c r="I36" s="10" t="s">
        <v>115</v>
      </c>
      <c r="J36" s="9">
        <v>1</v>
      </c>
      <c r="K36" s="9"/>
    </row>
    <row r="37" spans="1:11" ht="24.75" thickBot="1" x14ac:dyDescent="0.3">
      <c r="A37" s="1"/>
      <c r="B37" s="11">
        <f>ROW(B37) - ROW($B$2)</f>
        <v>35</v>
      </c>
      <c r="C37" s="12" t="s">
        <v>14</v>
      </c>
      <c r="D37" s="7" t="s">
        <v>51</v>
      </c>
      <c r="E37" s="8" t="s">
        <v>93</v>
      </c>
      <c r="F37" s="7" t="s">
        <v>116</v>
      </c>
      <c r="G37" s="8" t="s">
        <v>151</v>
      </c>
      <c r="H37" s="7" t="s">
        <v>182</v>
      </c>
      <c r="I37" s="8" t="s">
        <v>151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14</v>
      </c>
      <c r="D38" s="9" t="s">
        <v>52</v>
      </c>
      <c r="E38" s="10" t="s">
        <v>94</v>
      </c>
      <c r="F38" s="9" t="s">
        <v>117</v>
      </c>
      <c r="G38" s="10" t="s">
        <v>152</v>
      </c>
      <c r="H38" s="9" t="s">
        <v>183</v>
      </c>
      <c r="I38" s="10" t="s">
        <v>152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14</v>
      </c>
      <c r="D39" s="7" t="s">
        <v>53</v>
      </c>
      <c r="E39" s="8" t="s">
        <v>95</v>
      </c>
      <c r="F39" s="7" t="s">
        <v>118</v>
      </c>
      <c r="G39" s="8" t="s">
        <v>153</v>
      </c>
      <c r="H39" s="7" t="s">
        <v>184</v>
      </c>
      <c r="I39" s="8" t="s">
        <v>153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/>
      <c r="D40" s="9" t="s">
        <v>54</v>
      </c>
      <c r="E40" s="10" t="s">
        <v>96</v>
      </c>
      <c r="F40" s="9" t="s">
        <v>119</v>
      </c>
      <c r="G40" s="10" t="s">
        <v>154</v>
      </c>
      <c r="H40" s="9" t="s">
        <v>185</v>
      </c>
      <c r="I40" s="10" t="s">
        <v>154</v>
      </c>
      <c r="J40" s="9">
        <v>1</v>
      </c>
      <c r="K40" s="9"/>
    </row>
    <row r="41" spans="1:11" ht="24.75" thickBot="1" x14ac:dyDescent="0.3">
      <c r="A41" s="1"/>
      <c r="B41" s="11">
        <f>ROW(B41) - ROW($B$2)</f>
        <v>39</v>
      </c>
      <c r="C41" s="12" t="s">
        <v>14</v>
      </c>
      <c r="D41" s="7" t="s">
        <v>55</v>
      </c>
      <c r="E41" s="8" t="s">
        <v>97</v>
      </c>
      <c r="F41" s="7" t="s">
        <v>120</v>
      </c>
      <c r="G41" s="8" t="s">
        <v>155</v>
      </c>
      <c r="H41" s="7" t="s">
        <v>186</v>
      </c>
      <c r="I41" s="8" t="s">
        <v>155</v>
      </c>
      <c r="J41" s="7">
        <v>1</v>
      </c>
      <c r="K41" s="7"/>
    </row>
    <row r="42" spans="1:11" ht="24.75" thickBot="1" x14ac:dyDescent="0.3">
      <c r="A42" s="1"/>
      <c r="B42" s="11">
        <f t="shared" si="0"/>
        <v>40</v>
      </c>
      <c r="C42" s="13" t="s">
        <v>15</v>
      </c>
      <c r="D42" s="9" t="s">
        <v>56</v>
      </c>
      <c r="E42" s="10" t="s">
        <v>98</v>
      </c>
      <c r="F42" s="9" t="s">
        <v>121</v>
      </c>
      <c r="G42" s="10" t="s">
        <v>156</v>
      </c>
      <c r="H42" s="9" t="s">
        <v>187</v>
      </c>
      <c r="I42" s="10" t="s">
        <v>215</v>
      </c>
      <c r="J42" s="9">
        <v>1</v>
      </c>
      <c r="K42" s="9"/>
    </row>
    <row r="43" spans="1:11" ht="24.75" thickBot="1" x14ac:dyDescent="0.3">
      <c r="A43" s="1"/>
      <c r="B43" s="11">
        <f>ROW(B43) - ROW($B$2)</f>
        <v>41</v>
      </c>
      <c r="C43" s="12" t="s">
        <v>15</v>
      </c>
      <c r="D43" s="7" t="s">
        <v>57</v>
      </c>
      <c r="E43" s="8" t="s">
        <v>99</v>
      </c>
      <c r="F43" s="7" t="s">
        <v>122</v>
      </c>
      <c r="G43" s="8" t="s">
        <v>157</v>
      </c>
      <c r="H43" s="7" t="s">
        <v>188</v>
      </c>
      <c r="I43" s="8" t="s">
        <v>216</v>
      </c>
      <c r="J43" s="7">
        <v>1</v>
      </c>
      <c r="K43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XPENDER</cp:lastModifiedBy>
  <dcterms:created xsi:type="dcterms:W3CDTF">2019-12-12T10:34:26Z</dcterms:created>
  <dcterms:modified xsi:type="dcterms:W3CDTF">2024-03-16T11:45:13Z</dcterms:modified>
</cp:coreProperties>
</file>